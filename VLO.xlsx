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A35670AB-D6DD-4191-B91B-3C432ED5216F}" xr6:coauthVersionLast="47" xr6:coauthVersionMax="47" xr10:uidLastSave="{00000000-0000-0000-0000-000000000000}"/>
  <bookViews>
    <workbookView xWindow="-120" yWindow="-120" windowWidth="20730" windowHeight="11160" activeTab="1" xr2:uid="{919BF38E-7F97-4E32-8E6D-14ED986CE73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2" l="1"/>
  <c r="D49" i="2"/>
  <c r="D50" i="2"/>
  <c r="D51" i="2"/>
  <c r="D52" i="2"/>
  <c r="D53" i="2"/>
  <c r="D54" i="2"/>
  <c r="D47" i="2"/>
  <c r="C48" i="2"/>
  <c r="C49" i="2"/>
  <c r="C50" i="2"/>
  <c r="C51" i="2"/>
  <c r="C52" i="2"/>
  <c r="C53" i="2"/>
  <c r="C54" i="2"/>
  <c r="C47" i="2"/>
  <c r="B48" i="2"/>
  <c r="B49" i="2"/>
  <c r="B50" i="2"/>
  <c r="B51" i="2"/>
  <c r="B52" i="2"/>
  <c r="B53" i="2"/>
  <c r="B54" i="2"/>
  <c r="B47" i="2"/>
  <c r="D42" i="2"/>
  <c r="D41" i="2"/>
  <c r="D40" i="2"/>
  <c r="D39" i="2"/>
  <c r="D38" i="2"/>
  <c r="C42" i="2"/>
  <c r="C41" i="2"/>
  <c r="C40" i="2"/>
  <c r="C39" i="2"/>
  <c r="C38" i="2"/>
  <c r="A38" i="2"/>
  <c r="B41" i="2"/>
  <c r="B40" i="2"/>
  <c r="B39" i="2"/>
  <c r="B38" i="2"/>
  <c r="A41" i="2"/>
  <c r="A40" i="2"/>
  <c r="A39" i="2"/>
  <c r="D25" i="2"/>
  <c r="D26" i="2"/>
  <c r="D27" i="2"/>
  <c r="D28" i="2"/>
  <c r="D29" i="2"/>
  <c r="D30" i="2"/>
  <c r="D31" i="2"/>
  <c r="D24" i="2"/>
  <c r="C25" i="2"/>
  <c r="C26" i="2"/>
  <c r="C27" i="2"/>
  <c r="C28" i="2"/>
  <c r="C29" i="2"/>
  <c r="C30" i="2"/>
  <c r="C31" i="2"/>
  <c r="C24" i="2"/>
  <c r="B25" i="2"/>
  <c r="B26" i="2"/>
  <c r="B27" i="2"/>
  <c r="B28" i="2"/>
  <c r="B29" i="2"/>
  <c r="B30" i="2"/>
  <c r="B31" i="2"/>
  <c r="B24" i="2"/>
  <c r="D8" i="2"/>
  <c r="D9" i="2"/>
  <c r="D10" i="2"/>
  <c r="D11" i="2"/>
  <c r="D12" i="2"/>
  <c r="D13" i="2"/>
  <c r="D14" i="2"/>
  <c r="D7" i="2"/>
  <c r="C8" i="2"/>
  <c r="C9" i="2"/>
  <c r="C10" i="2"/>
  <c r="C11" i="2"/>
  <c r="C12" i="2"/>
  <c r="C13" i="2"/>
  <c r="C14" i="2"/>
  <c r="C7" i="2"/>
  <c r="B8" i="2"/>
  <c r="B9" i="2"/>
  <c r="B10" i="2"/>
  <c r="B11" i="2"/>
  <c r="B12" i="2"/>
  <c r="B13" i="2"/>
  <c r="B14" i="2"/>
  <c r="B7" i="2"/>
</calcChain>
</file>

<file path=xl/sharedStrings.xml><?xml version="1.0" encoding="utf-8"?>
<sst xmlns="http://schemas.openxmlformats.org/spreadsheetml/2006/main" count="815" uniqueCount="194">
  <si>
    <t>Employee ID</t>
  </si>
  <si>
    <t>First Name</t>
  </si>
  <si>
    <t>Last Name</t>
  </si>
  <si>
    <t>Department</t>
  </si>
  <si>
    <t>Location</t>
  </si>
  <si>
    <t>Email</t>
  </si>
  <si>
    <t>Phone</t>
  </si>
  <si>
    <t>Salary</t>
  </si>
  <si>
    <t>Join Date</t>
  </si>
  <si>
    <t>Status</t>
  </si>
  <si>
    <t>E1000</t>
  </si>
  <si>
    <t>Fiona</t>
  </si>
  <si>
    <t>Miller</t>
  </si>
  <si>
    <t>Finance</t>
  </si>
  <si>
    <t>Houston</t>
  </si>
  <si>
    <t>user0@example.com</t>
  </si>
  <si>
    <t>Resigned</t>
  </si>
  <si>
    <t>E1001</t>
  </si>
  <si>
    <t>Charlie</t>
  </si>
  <si>
    <t>Davis</t>
  </si>
  <si>
    <t>IT</t>
  </si>
  <si>
    <t>user1@example.com</t>
  </si>
  <si>
    <t>Active</t>
  </si>
  <si>
    <t>E1002</t>
  </si>
  <si>
    <t>John</t>
  </si>
  <si>
    <t>Sales</t>
  </si>
  <si>
    <t>Phoenix</t>
  </si>
  <si>
    <t>user2@example.com</t>
  </si>
  <si>
    <t>E1003</t>
  </si>
  <si>
    <t>Diana</t>
  </si>
  <si>
    <t>Johnson</t>
  </si>
  <si>
    <t>user3@example.com</t>
  </si>
  <si>
    <t>E1004</t>
  </si>
  <si>
    <t>Ethan</t>
  </si>
  <si>
    <t>user4@example.com</t>
  </si>
  <si>
    <t>E1005</t>
  </si>
  <si>
    <t>HR</t>
  </si>
  <si>
    <t>user5@example.com</t>
  </si>
  <si>
    <t>On Leave</t>
  </si>
  <si>
    <t>E1006</t>
  </si>
  <si>
    <t>Marketing</t>
  </si>
  <si>
    <t>New York</t>
  </si>
  <si>
    <t>user6@example.com</t>
  </si>
  <si>
    <t>E1007</t>
  </si>
  <si>
    <t>Los Angeles</t>
  </si>
  <si>
    <t>user7@example.com</t>
  </si>
  <si>
    <t>E1008</t>
  </si>
  <si>
    <t>Alice</t>
  </si>
  <si>
    <t>user8@example.com</t>
  </si>
  <si>
    <t>E1009</t>
  </si>
  <si>
    <t>Smith</t>
  </si>
  <si>
    <t>user9@example.com</t>
  </si>
  <si>
    <t>E1010</t>
  </si>
  <si>
    <t>user10@example.com</t>
  </si>
  <si>
    <t>E1011</t>
  </si>
  <si>
    <t>Brown</t>
  </si>
  <si>
    <t>user11@example.com</t>
  </si>
  <si>
    <t>E1012</t>
  </si>
  <si>
    <t>Chicago</t>
  </si>
  <si>
    <t>user12@example.com</t>
  </si>
  <si>
    <t>E1013</t>
  </si>
  <si>
    <t>user13@example.com</t>
  </si>
  <si>
    <t>E1014</t>
  </si>
  <si>
    <t>Bob</t>
  </si>
  <si>
    <t>user14@example.com</t>
  </si>
  <si>
    <t>E1015</t>
  </si>
  <si>
    <t>user15@example.com</t>
  </si>
  <si>
    <t>E1016</t>
  </si>
  <si>
    <t>user16@example.com</t>
  </si>
  <si>
    <t>E1017</t>
  </si>
  <si>
    <t>user17@example.com</t>
  </si>
  <si>
    <t>E1018</t>
  </si>
  <si>
    <t>Jane</t>
  </si>
  <si>
    <t>user18@example.com</t>
  </si>
  <si>
    <t>E1019</t>
  </si>
  <si>
    <t>user19@example.com</t>
  </si>
  <si>
    <t>E1020</t>
  </si>
  <si>
    <t>Doe</t>
  </si>
  <si>
    <t>user20@example.com</t>
  </si>
  <si>
    <t>E1021</t>
  </si>
  <si>
    <t>user21@example.com</t>
  </si>
  <si>
    <t>E1022</t>
  </si>
  <si>
    <t>user22@example.com</t>
  </si>
  <si>
    <t>E1023</t>
  </si>
  <si>
    <t>user23@example.com</t>
  </si>
  <si>
    <t>E1024</t>
  </si>
  <si>
    <t>user24@example.com</t>
  </si>
  <si>
    <t>E1025</t>
  </si>
  <si>
    <t>user25@example.com</t>
  </si>
  <si>
    <t>E1026</t>
  </si>
  <si>
    <t>user26@example.com</t>
  </si>
  <si>
    <t>E1027</t>
  </si>
  <si>
    <t>user27@example.com</t>
  </si>
  <si>
    <t>E1028</t>
  </si>
  <si>
    <t>user28@example.com</t>
  </si>
  <si>
    <t>E1029</t>
  </si>
  <si>
    <t>user29@example.com</t>
  </si>
  <si>
    <t>E1030</t>
  </si>
  <si>
    <t>user30@example.com</t>
  </si>
  <si>
    <t>E1031</t>
  </si>
  <si>
    <t>user31@example.com</t>
  </si>
  <si>
    <t>E1032</t>
  </si>
  <si>
    <t>user32@example.com</t>
  </si>
  <si>
    <t>E1033</t>
  </si>
  <si>
    <t>user33@example.com</t>
  </si>
  <si>
    <t>E1034</t>
  </si>
  <si>
    <t>user34@example.com</t>
  </si>
  <si>
    <t>E1035</t>
  </si>
  <si>
    <t>user35@example.com</t>
  </si>
  <si>
    <t>E1036</t>
  </si>
  <si>
    <t>user36@example.com</t>
  </si>
  <si>
    <t>E1037</t>
  </si>
  <si>
    <t>user37@example.com</t>
  </si>
  <si>
    <t>E1038</t>
  </si>
  <si>
    <t>user38@example.com</t>
  </si>
  <si>
    <t>E1039</t>
  </si>
  <si>
    <t>user39@example.com</t>
  </si>
  <si>
    <t>E1040</t>
  </si>
  <si>
    <t>user40@example.com</t>
  </si>
  <si>
    <t>E1041</t>
  </si>
  <si>
    <t>user41@example.com</t>
  </si>
  <si>
    <t>E1042</t>
  </si>
  <si>
    <t>user42@example.com</t>
  </si>
  <si>
    <t>E1043</t>
  </si>
  <si>
    <t>user43@example.com</t>
  </si>
  <si>
    <t>E1044</t>
  </si>
  <si>
    <t>user44@example.com</t>
  </si>
  <si>
    <t>E1045</t>
  </si>
  <si>
    <t>user45@example.com</t>
  </si>
  <si>
    <t>E1046</t>
  </si>
  <si>
    <t>user46@example.com</t>
  </si>
  <si>
    <t>E1047</t>
  </si>
  <si>
    <t>user47@example.com</t>
  </si>
  <si>
    <t>E1048</t>
  </si>
  <si>
    <t>user48@example.com</t>
  </si>
  <si>
    <t>E1049</t>
  </si>
  <si>
    <t>user49@example.com</t>
  </si>
  <si>
    <t>Vertical Lookups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</si>
  <si>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</si>
  <si>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</si>
  <si>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</si>
  <si>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</si>
  <si>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</si>
  <si>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</si>
  <si>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</si>
  <si>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</si>
  <si>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</si>
  <si>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</si>
  <si>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</si>
  <si>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</si>
  <si>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</si>
  <si>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</si>
  <si>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</si>
  <si>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</si>
  <si>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</si>
  <si>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</si>
  <si>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</si>
  <si>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</si>
  <si>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</si>
  <si>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</si>
  <si>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</si>
  <si>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</si>
  <si>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</si>
  <si>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</si>
  <si>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</si>
  <si>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</si>
  <si>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</si>
  <si>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</si>
  <si>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</si>
  <si>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</si>
  <si>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</si>
  <si>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</si>
  <si>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</si>
  <si>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</si>
  <si>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</si>
  <si>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</si>
  <si>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</si>
  <si>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</si>
  <si>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</si>
  <si>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</si>
  <si>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</si>
  <si>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</si>
  <si>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</si>
  <si>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</si>
  <si>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</si>
  <si>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</si>
  <si>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</si>
  <si>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</si>
  <si>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</si>
  <si>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Horizontal Look ups</t>
  </si>
  <si>
    <t>INDEX</t>
  </si>
  <si>
    <t>EMAIL</t>
  </si>
  <si>
    <t>PHONE NUMBER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</si>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</sst>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0"/>
      <color theme="1"/>
      <name val="Arial"/>
      <family val="2"/>
    </font>
    <font>
      <b/>
      <sz val="18"/>
      <color theme="1"/>
      <name val="Calibri"/>
      <family val="2"/>
    </font>
    <font>
      <b/>
      <sz val="2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D9E7FD"/>
        <bgColor indexed="64"/>
      </patternFill>
    </fill>
    <fill>
      <patternFill patternType="solid">
        <fgColor rgb="FFED7D31"/>
        <bgColor indexed="64"/>
      </patternFill>
    </fill>
  </fills>
  <borders count="2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14" fontId="2" fillId="3" borderId="1" xfId="0" applyNumberFormat="1" applyFont="1" applyFill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0" fontId="4" fillId="0" borderId="7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2" fillId="0" borderId="8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2" fillId="3" borderId="10" xfId="0" applyFont="1" applyFill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2" borderId="13" xfId="0" applyFont="1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" fillId="2" borderId="14" xfId="0" applyFont="1" applyFill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1" xfId="0" applyFont="1" applyBorder="1" applyAlignment="1">
      <alignment horizontal="right" wrapText="1"/>
    </xf>
    <xf numFmtId="14" fontId="2" fillId="0" borderId="11" xfId="0" applyNumberFormat="1" applyFont="1" applyBorder="1" applyAlignment="1">
      <alignment horizontal="right" wrapText="1"/>
    </xf>
    <xf numFmtId="0" fontId="2" fillId="0" borderId="16" xfId="0" applyFont="1" applyBorder="1" applyAlignment="1">
      <alignment wrapText="1"/>
    </xf>
    <xf numFmtId="0" fontId="3" fillId="4" borderId="2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4" fillId="4" borderId="5" xfId="0" applyFont="1" applyFill="1" applyBorder="1" applyAlignment="1">
      <alignment wrapText="1"/>
    </xf>
    <xf numFmtId="0" fontId="4" fillId="4" borderId="6" xfId="0" applyFont="1" applyFill="1" applyBorder="1" applyAlignment="1">
      <alignment wrapText="1"/>
    </xf>
    <xf numFmtId="0" fontId="5" fillId="4" borderId="2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4" fillId="4" borderId="17" xfId="0" applyFont="1" applyFill="1" applyBorder="1" applyAlignment="1">
      <alignment wrapText="1"/>
    </xf>
    <xf numFmtId="0" fontId="4" fillId="4" borderId="10" xfId="0" applyFont="1" applyFill="1" applyBorder="1" applyAlignment="1">
      <alignment wrapText="1"/>
    </xf>
    <xf numFmtId="0" fontId="2" fillId="0" borderId="18" xfId="0" applyFont="1" applyBorder="1" applyAlignment="1">
      <alignment vertical="center"/>
    </xf>
    <xf numFmtId="0" fontId="6" fillId="4" borderId="5" xfId="0" applyFont="1" applyFill="1" applyBorder="1" applyAlignment="1">
      <alignment horizontal="center" wrapText="1"/>
    </xf>
    <xf numFmtId="0" fontId="6" fillId="4" borderId="19" xfId="0" applyFont="1" applyFill="1" applyBorder="1" applyAlignment="1">
      <alignment horizontal="center" wrapText="1"/>
    </xf>
    <xf numFmtId="0" fontId="6" fillId="4" borderId="20" xfId="0" applyFont="1" applyFill="1" applyBorder="1" applyAlignment="1">
      <alignment horizontal="center" wrapTex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4285F4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E4EAFA-43DB-4A45-94ED-C1E8F27A1BA1}" name="vloo" displayName="vloo" ref="A1:J51" totalsRowShown="0" headerRowDxfId="13" headerRowBorderDxfId="12" tableBorderDxfId="11" totalsRowBorderDxfId="10">
  <autoFilter ref="A1:J51" xr:uid="{9DE4EAFA-43DB-4A45-94ED-C1E8F27A1BA1}"/>
  <tableColumns count="10">
    <tableColumn id="1" xr3:uid="{2C7C2DDE-16DE-4780-B5C9-B74251F9F4CC}" name="Employee ID" dataDxfId="9"/>
    <tableColumn id="2" xr3:uid="{D7330E95-0FA3-4DB4-B2D6-00BFBD1BDD44}" name="First Name" dataDxfId="8"/>
    <tableColumn id="3" xr3:uid="{B29E8BB7-EE82-46D0-B3BC-A4522C89DC03}" name="Last Name" dataDxfId="7"/>
    <tableColumn id="4" xr3:uid="{3DD79A96-F610-48A1-BF34-F2544CF07517}" name="Department" dataDxfId="6"/>
    <tableColumn id="5" xr3:uid="{C1C13535-5C88-4292-A638-2563797A9281}" name="Location" dataDxfId="5"/>
    <tableColumn id="6" xr3:uid="{3A9DA18D-20CF-41AA-862B-3F2BE79901DF}" name="Email" dataDxfId="4"/>
    <tableColumn id="7" xr3:uid="{ACF726A4-12C4-4496-9B43-5CC26BA019A7}" name="Phone" dataDxfId="3"/>
    <tableColumn id="8" xr3:uid="{5A329843-FA5C-4DA7-A4A5-6EEF2BE0D04E}" name="Salary" dataDxfId="2"/>
    <tableColumn id="9" xr3:uid="{88DCFA62-EC51-423B-88EC-8B41F5AF8A9A}" name="Join Date" dataDxfId="1"/>
    <tableColumn id="10" xr3:uid="{1D61ABA1-A4CD-4391-A27C-207C9355E020}" name="Statu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33883F-53C0-4940-8C48-AFED9741CB90}" name="Hloo" displayName="Hloo" ref="A65:AY75" totalsRowShown="0">
  <autoFilter ref="A65:AY75" xr:uid="{E333883F-53C0-4940-8C48-AFED9741CB90}"/>
  <tableColumns count="51">
    <tableColumn id="1" xr3:uid="{C006D9F2-F9E2-4BBD-912A-65EDC8DCBEAF}" name="Column1"/>
    <tableColumn id="2" xr3:uid="{2914686B-2A71-4935-AC04-B8F84B0AEB58}" name="Column2"/>
    <tableColumn id="3" xr3:uid="{C6C96DF2-D59D-4F21-BB34-BFD40937E8ED}" name="Column3"/>
    <tableColumn id="4" xr3:uid="{388367EC-DC1D-408D-BA08-01CC469DBCE5}" name="Column4"/>
    <tableColumn id="5" xr3:uid="{06191C33-528B-4578-99E5-71D834DFFFBA}" name="Column5"/>
    <tableColumn id="6" xr3:uid="{D24F1E89-350F-4221-8F13-880478AF627F}" name="Column6"/>
    <tableColumn id="7" xr3:uid="{947EB44F-9DF9-454C-B3E5-1AC7F048B7AD}" name="Column7"/>
    <tableColumn id="8" xr3:uid="{C30EA864-4A38-4B48-AC5C-82755D9FA885}" name="Column8"/>
    <tableColumn id="9" xr3:uid="{38B3F42F-43A9-45F3-B2BE-A172DE09DD7E}" name="Column9"/>
    <tableColumn id="10" xr3:uid="{37E4CF33-F1B7-4B28-9A24-AA38E8A47ABC}" name="Column10"/>
    <tableColumn id="11" xr3:uid="{279FA4F7-AD9A-4634-8515-3BBDA10DE100}" name="Column11"/>
    <tableColumn id="12" xr3:uid="{42FF922F-B77C-45F2-BEB9-A3E63A1F9344}" name="Column12"/>
    <tableColumn id="13" xr3:uid="{3D40835E-AFBE-4E59-B7C6-C60F91DD47C0}" name="Column13"/>
    <tableColumn id="14" xr3:uid="{4BD4FA4B-60BE-4802-83BF-2DF26C9096AC}" name="Column14"/>
    <tableColumn id="15" xr3:uid="{9E7D6A9C-D058-43A0-84B3-3220EA73219C}" name="Column15"/>
    <tableColumn id="16" xr3:uid="{828D95C6-8ED8-44D2-AE4A-CFDFEE8FC267}" name="Column16"/>
    <tableColumn id="17" xr3:uid="{9B0FA8B6-9D04-41C0-8738-D8FB4A95B31A}" name="Column17"/>
    <tableColumn id="18" xr3:uid="{B2C53A4E-5DB4-4B61-A87F-A48D6EEE7BE9}" name="Column18"/>
    <tableColumn id="19" xr3:uid="{5C40CDB7-309B-4BC6-B7A5-D68C637492A0}" name="Column19"/>
    <tableColumn id="20" xr3:uid="{17D61010-9595-41C3-BE08-2EA6717685E5}" name="Column20"/>
    <tableColumn id="21" xr3:uid="{2C0A7DD0-64CE-49F9-A5BE-E3F3F62B35B7}" name="Column21"/>
    <tableColumn id="22" xr3:uid="{3A97A014-9A6C-467E-80D6-B4C55968042E}" name="Column22"/>
    <tableColumn id="23" xr3:uid="{26EC76C7-0135-4ECE-A2CB-65ABE82A4098}" name="Column23"/>
    <tableColumn id="24" xr3:uid="{249A7E75-A45D-4E46-8473-F4CD1DC87F09}" name="Column24"/>
    <tableColumn id="25" xr3:uid="{98E81C0C-70DF-45F9-B467-F5E06D9AF7AD}" name="Column25"/>
    <tableColumn id="26" xr3:uid="{52AFF9E4-350C-4309-BD7D-BC9EEC623EE4}" name="Column26"/>
    <tableColumn id="27" xr3:uid="{4B968237-632F-4DD8-99A3-B3638F26EE96}" name="Column27"/>
    <tableColumn id="28" xr3:uid="{BCCC14CB-B4BA-4007-AEB2-C84003DB3614}" name="Column28"/>
    <tableColumn id="29" xr3:uid="{A9E61A6B-CEE6-48C6-8AF1-6B8B27657C67}" name="Column29"/>
    <tableColumn id="30" xr3:uid="{052FF161-F5C5-4E04-A054-E84DE2BCAE54}" name="Column30"/>
    <tableColumn id="31" xr3:uid="{B473AB4C-E0ED-4C49-9E8F-F1514B9B4212}" name="Column31"/>
    <tableColumn id="32" xr3:uid="{5C6B60BF-9EF1-4DED-9828-35A61BD3C40D}" name="Column32"/>
    <tableColumn id="33" xr3:uid="{C5E5565B-D7FD-473C-AEA0-F14F94422A3B}" name="Column33"/>
    <tableColumn id="34" xr3:uid="{F99CC1CC-B118-4CFE-9A33-5F8381778BC7}" name="Column34"/>
    <tableColumn id="35" xr3:uid="{9BF7BA46-DB30-47CA-9DB9-767C69B34FED}" name="Column35"/>
    <tableColumn id="36" xr3:uid="{C1AC74A1-3024-4B4A-932C-ABC7A226E362}" name="Column36"/>
    <tableColumn id="37" xr3:uid="{5EE91EC7-F78F-4EDA-A688-EA06E9111D8A}" name="Column37"/>
    <tableColumn id="38" xr3:uid="{FE802D20-9FC3-4C84-82D2-499DBF63AE60}" name="Column38"/>
    <tableColumn id="39" xr3:uid="{7601996B-BA83-4FD3-B36F-8A29ADE54F6A}" name="Column39"/>
    <tableColumn id="40" xr3:uid="{E5F95F13-6823-4F29-9B5B-DF9FAF50967A}" name="Column40"/>
    <tableColumn id="41" xr3:uid="{56D4A8B3-98C9-40F8-B59B-F16C2F5E1FB2}" name="Column41"/>
    <tableColumn id="42" xr3:uid="{CE87168C-087A-45E4-9795-E1BD35B578C4}" name="Column42"/>
    <tableColumn id="43" xr3:uid="{5494BCE4-2046-4FB7-AA29-846CBE9D0DA6}" name="Column43"/>
    <tableColumn id="44" xr3:uid="{4FC6032F-9AF8-4234-8CEF-E7FF648B1A32}" name="Column44"/>
    <tableColumn id="45" xr3:uid="{9C3A2C36-7F40-4853-AE8B-0C9B97ED06EB}" name="Column45"/>
    <tableColumn id="46" xr3:uid="{8851FB2C-2E12-47BA-A432-2A1782B2CF7C}" name="Column46"/>
    <tableColumn id="47" xr3:uid="{85D4EEB6-6116-4079-9571-8B4672AFF13C}" name="Column47"/>
    <tableColumn id="48" xr3:uid="{7F8F4C93-10F2-4742-B6F7-224E8610828E}" name="Column48"/>
    <tableColumn id="49" xr3:uid="{575EEDAC-BF4A-4D78-9B5E-114B2B687151}" name="Column49"/>
    <tableColumn id="50" xr3:uid="{24109B52-4B21-4246-AABE-09B1EA6AEE5B}" name="Column50"/>
    <tableColumn id="51" xr3:uid="{258C748A-CCF8-4547-A24E-7BCDBF7E5D06}" name="Column5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D0A7-1AE2-413F-AE90-A4D4FF3AB538}">
  <dimension ref="A1:AY75"/>
  <sheetViews>
    <sheetView topLeftCell="A40" workbookViewId="0">
      <selection activeCell="A65" sqref="A65:XFD65"/>
    </sheetView>
  </sheetViews>
  <sheetFormatPr defaultRowHeight="15" x14ac:dyDescent="0.25"/>
  <cols>
    <col min="1" max="1" width="14.28515625" customWidth="1"/>
    <col min="2" max="2" width="23.85546875" customWidth="1"/>
    <col min="3" max="3" width="16" customWidth="1"/>
    <col min="4" max="4" width="15.5703125" customWidth="1"/>
    <col min="5" max="5" width="11.28515625" customWidth="1"/>
    <col min="6" max="6" width="21.7109375" customWidth="1"/>
    <col min="7" max="8" width="15.7109375" customWidth="1"/>
    <col min="9" max="9" width="13.5703125" customWidth="1"/>
    <col min="10" max="51" width="12.28515625" customWidth="1"/>
  </cols>
  <sheetData>
    <row r="1" spans="1:10" ht="15.75" thickBot="1" x14ac:dyDescent="0.3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9" t="s">
        <v>9</v>
      </c>
    </row>
    <row r="2" spans="1:10" ht="15.75" thickBot="1" x14ac:dyDescent="0.3">
      <c r="A2" s="13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2">
        <v>9876544545</v>
      </c>
      <c r="H2" s="2">
        <v>78858</v>
      </c>
      <c r="I2" s="3">
        <v>42035</v>
      </c>
      <c r="J2" s="15" t="s">
        <v>16</v>
      </c>
    </row>
    <row r="3" spans="1:10" ht="45.75" thickBot="1" x14ac:dyDescent="0.3">
      <c r="A3" s="14" t="s">
        <v>17</v>
      </c>
      <c r="B3" s="4" t="s">
        <v>18</v>
      </c>
      <c r="C3" s="4" t="s">
        <v>19</v>
      </c>
      <c r="D3" s="4" t="s">
        <v>20</v>
      </c>
      <c r="E3" s="4" t="s">
        <v>14</v>
      </c>
      <c r="F3" s="4" t="s">
        <v>21</v>
      </c>
      <c r="G3" s="5">
        <v>9876541529</v>
      </c>
      <c r="H3" s="5">
        <v>71407</v>
      </c>
      <c r="I3" s="6">
        <v>42063</v>
      </c>
      <c r="J3" s="16" t="s">
        <v>22</v>
      </c>
    </row>
    <row r="4" spans="1:10" ht="45.75" thickBot="1" x14ac:dyDescent="0.3">
      <c r="A4" s="13" t="s">
        <v>23</v>
      </c>
      <c r="B4" s="1" t="s">
        <v>24</v>
      </c>
      <c r="C4" s="1" t="s">
        <v>12</v>
      </c>
      <c r="D4" s="1" t="s">
        <v>25</v>
      </c>
      <c r="E4" s="1" t="s">
        <v>26</v>
      </c>
      <c r="F4" s="1" t="s">
        <v>27</v>
      </c>
      <c r="G4" s="2">
        <v>9880000000</v>
      </c>
      <c r="H4" s="2">
        <v>91776</v>
      </c>
      <c r="I4" s="3">
        <v>42094</v>
      </c>
      <c r="J4" s="15" t="s">
        <v>22</v>
      </c>
    </row>
    <row r="5" spans="1:10" ht="45.75" thickBot="1" x14ac:dyDescent="0.3">
      <c r="A5" s="14" t="s">
        <v>28</v>
      </c>
      <c r="B5" s="4" t="s">
        <v>29</v>
      </c>
      <c r="C5" s="4" t="s">
        <v>30</v>
      </c>
      <c r="D5" s="4" t="s">
        <v>25</v>
      </c>
      <c r="E5" s="4" t="s">
        <v>26</v>
      </c>
      <c r="F5" s="4" t="s">
        <v>31</v>
      </c>
      <c r="G5" s="5">
        <v>9876528803</v>
      </c>
      <c r="H5" s="5">
        <v>75141</v>
      </c>
      <c r="I5" s="6">
        <v>42124</v>
      </c>
      <c r="J5" s="16" t="s">
        <v>16</v>
      </c>
    </row>
    <row r="6" spans="1:10" ht="45.75" thickBot="1" x14ac:dyDescent="0.3">
      <c r="A6" s="13" t="s">
        <v>32</v>
      </c>
      <c r="B6" s="1" t="s">
        <v>33</v>
      </c>
      <c r="C6" s="1" t="s">
        <v>12</v>
      </c>
      <c r="D6" s="1" t="s">
        <v>25</v>
      </c>
      <c r="E6" s="1" t="s">
        <v>14</v>
      </c>
      <c r="F6" s="1" t="s">
        <v>34</v>
      </c>
      <c r="G6" s="2">
        <v>9876540655</v>
      </c>
      <c r="H6" s="2">
        <v>88799</v>
      </c>
      <c r="I6" s="3">
        <v>42155</v>
      </c>
      <c r="J6" s="15" t="s">
        <v>16</v>
      </c>
    </row>
    <row r="7" spans="1:10" ht="45.75" thickBot="1" x14ac:dyDescent="0.3">
      <c r="A7" s="14" t="s">
        <v>35</v>
      </c>
      <c r="B7" s="4" t="s">
        <v>33</v>
      </c>
      <c r="C7" s="4" t="s">
        <v>12</v>
      </c>
      <c r="D7" s="4" t="s">
        <v>36</v>
      </c>
      <c r="E7" s="4" t="s">
        <v>14</v>
      </c>
      <c r="F7" s="4" t="s">
        <v>37</v>
      </c>
      <c r="G7" s="5">
        <v>9876534004</v>
      </c>
      <c r="H7" s="5">
        <v>40225</v>
      </c>
      <c r="I7" s="6">
        <v>42185</v>
      </c>
      <c r="J7" s="16" t="s">
        <v>38</v>
      </c>
    </row>
    <row r="8" spans="1:10" ht="45.75" thickBot="1" x14ac:dyDescent="0.3">
      <c r="A8" s="13" t="s">
        <v>39</v>
      </c>
      <c r="B8" s="1" t="s">
        <v>18</v>
      </c>
      <c r="C8" s="1" t="s">
        <v>19</v>
      </c>
      <c r="D8" s="1" t="s">
        <v>40</v>
      </c>
      <c r="E8" s="1" t="s">
        <v>41</v>
      </c>
      <c r="F8" s="1" t="s">
        <v>42</v>
      </c>
      <c r="G8" s="2">
        <v>9876530256</v>
      </c>
      <c r="H8" s="2">
        <v>49923</v>
      </c>
      <c r="I8" s="3">
        <v>42216</v>
      </c>
      <c r="J8" s="15" t="s">
        <v>22</v>
      </c>
    </row>
    <row r="9" spans="1:10" ht="45.75" thickBot="1" x14ac:dyDescent="0.3">
      <c r="A9" s="14" t="s">
        <v>43</v>
      </c>
      <c r="B9" s="4" t="s">
        <v>18</v>
      </c>
      <c r="C9" s="4" t="s">
        <v>19</v>
      </c>
      <c r="D9" s="4" t="s">
        <v>13</v>
      </c>
      <c r="E9" s="4" t="s">
        <v>44</v>
      </c>
      <c r="F9" s="4" t="s">
        <v>45</v>
      </c>
      <c r="G9" s="5">
        <v>9876556440</v>
      </c>
      <c r="H9" s="5">
        <v>47477</v>
      </c>
      <c r="I9" s="6">
        <v>42247</v>
      </c>
      <c r="J9" s="16" t="s">
        <v>16</v>
      </c>
    </row>
    <row r="10" spans="1:10" ht="30.75" thickBot="1" x14ac:dyDescent="0.3">
      <c r="A10" s="13" t="s">
        <v>46</v>
      </c>
      <c r="B10" s="1" t="s">
        <v>47</v>
      </c>
      <c r="C10" s="1" t="s">
        <v>19</v>
      </c>
      <c r="D10" s="1" t="s">
        <v>20</v>
      </c>
      <c r="E10" s="1" t="s">
        <v>44</v>
      </c>
      <c r="F10" s="1" t="s">
        <v>48</v>
      </c>
      <c r="G10" s="2">
        <v>9876559521</v>
      </c>
      <c r="H10" s="2">
        <v>61874</v>
      </c>
      <c r="I10" s="3">
        <v>42277</v>
      </c>
      <c r="J10" s="15" t="s">
        <v>38</v>
      </c>
    </row>
    <row r="11" spans="1:10" ht="15.75" thickBot="1" x14ac:dyDescent="0.3">
      <c r="A11" s="14" t="s">
        <v>49</v>
      </c>
      <c r="B11" s="4" t="s">
        <v>29</v>
      </c>
      <c r="C11" s="4" t="s">
        <v>50</v>
      </c>
      <c r="D11" s="4" t="s">
        <v>40</v>
      </c>
      <c r="E11" s="4" t="s">
        <v>26</v>
      </c>
      <c r="F11" s="4" t="s">
        <v>51</v>
      </c>
      <c r="G11" s="5">
        <v>9876552821</v>
      </c>
      <c r="H11" s="5">
        <v>80719</v>
      </c>
      <c r="I11" s="6">
        <v>42308</v>
      </c>
      <c r="J11" s="16" t="s">
        <v>16</v>
      </c>
    </row>
    <row r="12" spans="1:10" ht="15.75" thickBot="1" x14ac:dyDescent="0.3">
      <c r="A12" s="13" t="s">
        <v>52</v>
      </c>
      <c r="B12" s="1" t="s">
        <v>29</v>
      </c>
      <c r="C12" s="1" t="s">
        <v>50</v>
      </c>
      <c r="D12" s="1" t="s">
        <v>36</v>
      </c>
      <c r="E12" s="1" t="s">
        <v>14</v>
      </c>
      <c r="F12" s="1" t="s">
        <v>53</v>
      </c>
      <c r="G12" s="2">
        <v>9876538558</v>
      </c>
      <c r="H12" s="2">
        <v>97074</v>
      </c>
      <c r="I12" s="3">
        <v>42338</v>
      </c>
      <c r="J12" s="15" t="s">
        <v>38</v>
      </c>
    </row>
    <row r="13" spans="1:10" ht="30.75" thickBot="1" x14ac:dyDescent="0.3">
      <c r="A13" s="14" t="s">
        <v>54</v>
      </c>
      <c r="B13" s="4" t="s">
        <v>33</v>
      </c>
      <c r="C13" s="4" t="s">
        <v>55</v>
      </c>
      <c r="D13" s="4" t="s">
        <v>40</v>
      </c>
      <c r="E13" s="4" t="s">
        <v>44</v>
      </c>
      <c r="F13" s="4" t="s">
        <v>56</v>
      </c>
      <c r="G13" s="5">
        <v>9876567729</v>
      </c>
      <c r="H13" s="5">
        <v>80544</v>
      </c>
      <c r="I13" s="6">
        <v>42369</v>
      </c>
      <c r="J13" s="16" t="s">
        <v>16</v>
      </c>
    </row>
    <row r="14" spans="1:10" ht="15.75" thickBot="1" x14ac:dyDescent="0.3">
      <c r="A14" s="13" t="s">
        <v>57</v>
      </c>
      <c r="B14" s="1" t="s">
        <v>18</v>
      </c>
      <c r="C14" s="1" t="s">
        <v>50</v>
      </c>
      <c r="D14" s="1" t="s">
        <v>20</v>
      </c>
      <c r="E14" s="1" t="s">
        <v>58</v>
      </c>
      <c r="F14" s="1" t="s">
        <v>59</v>
      </c>
      <c r="G14" s="2">
        <v>9876583360</v>
      </c>
      <c r="H14" s="2">
        <v>56494</v>
      </c>
      <c r="I14" s="3">
        <v>42400</v>
      </c>
      <c r="J14" s="15" t="s">
        <v>22</v>
      </c>
    </row>
    <row r="15" spans="1:10" ht="30.75" thickBot="1" x14ac:dyDescent="0.3">
      <c r="A15" s="14" t="s">
        <v>60</v>
      </c>
      <c r="B15" s="4" t="s">
        <v>47</v>
      </c>
      <c r="C15" s="4" t="s">
        <v>30</v>
      </c>
      <c r="D15" s="4" t="s">
        <v>13</v>
      </c>
      <c r="E15" s="4" t="s">
        <v>44</v>
      </c>
      <c r="F15" s="4" t="s">
        <v>61</v>
      </c>
      <c r="G15" s="5">
        <v>9876576181</v>
      </c>
      <c r="H15" s="5">
        <v>49476</v>
      </c>
      <c r="I15" s="6">
        <v>42429</v>
      </c>
      <c r="J15" s="16" t="s">
        <v>16</v>
      </c>
    </row>
    <row r="16" spans="1:10" ht="15.75" thickBot="1" x14ac:dyDescent="0.3">
      <c r="A16" s="13" t="s">
        <v>62</v>
      </c>
      <c r="B16" s="1" t="s">
        <v>63</v>
      </c>
      <c r="C16" s="1" t="s">
        <v>55</v>
      </c>
      <c r="D16" s="1" t="s">
        <v>40</v>
      </c>
      <c r="E16" s="1" t="s">
        <v>58</v>
      </c>
      <c r="F16" s="1" t="s">
        <v>64</v>
      </c>
      <c r="G16" s="2">
        <v>9876579770</v>
      </c>
      <c r="H16" s="2">
        <v>62504</v>
      </c>
      <c r="I16" s="3">
        <v>42460</v>
      </c>
      <c r="J16" s="15" t="s">
        <v>38</v>
      </c>
    </row>
    <row r="17" spans="1:10" ht="15.75" thickBot="1" x14ac:dyDescent="0.3">
      <c r="A17" s="14" t="s">
        <v>65</v>
      </c>
      <c r="B17" s="4" t="s">
        <v>63</v>
      </c>
      <c r="C17" s="4" t="s">
        <v>50</v>
      </c>
      <c r="D17" s="4" t="s">
        <v>36</v>
      </c>
      <c r="E17" s="4" t="s">
        <v>58</v>
      </c>
      <c r="F17" s="4" t="s">
        <v>66</v>
      </c>
      <c r="G17" s="5">
        <v>9876590379</v>
      </c>
      <c r="H17" s="5">
        <v>46589</v>
      </c>
      <c r="I17" s="6">
        <v>42490</v>
      </c>
      <c r="J17" s="16" t="s">
        <v>22</v>
      </c>
    </row>
    <row r="18" spans="1:10" ht="15.75" thickBot="1" x14ac:dyDescent="0.3">
      <c r="A18" s="13" t="s">
        <v>67</v>
      </c>
      <c r="B18" s="1" t="s">
        <v>29</v>
      </c>
      <c r="C18" s="1" t="s">
        <v>12</v>
      </c>
      <c r="D18" s="1" t="s">
        <v>36</v>
      </c>
      <c r="E18" s="1" t="s">
        <v>26</v>
      </c>
      <c r="F18" s="1" t="s">
        <v>68</v>
      </c>
      <c r="G18" s="2">
        <v>9876539815</v>
      </c>
      <c r="H18" s="2">
        <v>79498</v>
      </c>
      <c r="I18" s="3">
        <v>42521</v>
      </c>
      <c r="J18" s="15" t="s">
        <v>38</v>
      </c>
    </row>
    <row r="19" spans="1:10" ht="15.75" thickBot="1" x14ac:dyDescent="0.3">
      <c r="A19" s="14" t="s">
        <v>69</v>
      </c>
      <c r="B19" s="4" t="s">
        <v>11</v>
      </c>
      <c r="C19" s="4" t="s">
        <v>19</v>
      </c>
      <c r="D19" s="4" t="s">
        <v>13</v>
      </c>
      <c r="E19" s="4" t="s">
        <v>14</v>
      </c>
      <c r="F19" s="4" t="s">
        <v>70</v>
      </c>
      <c r="G19" s="5">
        <v>9876534982</v>
      </c>
      <c r="H19" s="5">
        <v>74339</v>
      </c>
      <c r="I19" s="6">
        <v>42551</v>
      </c>
      <c r="J19" s="16" t="s">
        <v>16</v>
      </c>
    </row>
    <row r="20" spans="1:10" ht="30.75" thickBot="1" x14ac:dyDescent="0.3">
      <c r="A20" s="13" t="s">
        <v>71</v>
      </c>
      <c r="B20" s="1" t="s">
        <v>72</v>
      </c>
      <c r="C20" s="1" t="s">
        <v>12</v>
      </c>
      <c r="D20" s="1" t="s">
        <v>20</v>
      </c>
      <c r="E20" s="1" t="s">
        <v>44</v>
      </c>
      <c r="F20" s="1" t="s">
        <v>73</v>
      </c>
      <c r="G20" s="2">
        <v>9876594471</v>
      </c>
      <c r="H20" s="2">
        <v>58010</v>
      </c>
      <c r="I20" s="3">
        <v>42582</v>
      </c>
      <c r="J20" s="15" t="s">
        <v>22</v>
      </c>
    </row>
    <row r="21" spans="1:10" ht="15.75" thickBot="1" x14ac:dyDescent="0.3">
      <c r="A21" s="14" t="s">
        <v>74</v>
      </c>
      <c r="B21" s="4" t="s">
        <v>11</v>
      </c>
      <c r="C21" s="4" t="s">
        <v>30</v>
      </c>
      <c r="D21" s="4" t="s">
        <v>25</v>
      </c>
      <c r="E21" s="4" t="s">
        <v>41</v>
      </c>
      <c r="F21" s="4" t="s">
        <v>75</v>
      </c>
      <c r="G21" s="5">
        <v>9876546986</v>
      </c>
      <c r="H21" s="5">
        <v>67699</v>
      </c>
      <c r="I21" s="6">
        <v>42613</v>
      </c>
      <c r="J21" s="16" t="s">
        <v>38</v>
      </c>
    </row>
    <row r="22" spans="1:10" ht="15.75" thickBot="1" x14ac:dyDescent="0.3">
      <c r="A22" s="13" t="s">
        <v>76</v>
      </c>
      <c r="B22" s="1" t="s">
        <v>24</v>
      </c>
      <c r="C22" s="1" t="s">
        <v>77</v>
      </c>
      <c r="D22" s="1" t="s">
        <v>13</v>
      </c>
      <c r="E22" s="1" t="s">
        <v>14</v>
      </c>
      <c r="F22" s="1" t="s">
        <v>78</v>
      </c>
      <c r="G22" s="2">
        <v>9876525405</v>
      </c>
      <c r="H22" s="2">
        <v>98459</v>
      </c>
      <c r="I22" s="3">
        <v>42643</v>
      </c>
      <c r="J22" s="15" t="s">
        <v>22</v>
      </c>
    </row>
    <row r="23" spans="1:10" ht="15.75" thickBot="1" x14ac:dyDescent="0.3">
      <c r="A23" s="14" t="s">
        <v>79</v>
      </c>
      <c r="B23" s="4" t="s">
        <v>47</v>
      </c>
      <c r="C23" s="4" t="s">
        <v>50</v>
      </c>
      <c r="D23" s="4" t="s">
        <v>36</v>
      </c>
      <c r="E23" s="4" t="s">
        <v>14</v>
      </c>
      <c r="F23" s="4" t="s">
        <v>80</v>
      </c>
      <c r="G23" s="5">
        <v>9876517236</v>
      </c>
      <c r="H23" s="5">
        <v>62283</v>
      </c>
      <c r="I23" s="6">
        <v>42674</v>
      </c>
      <c r="J23" s="16" t="s">
        <v>16</v>
      </c>
    </row>
    <row r="24" spans="1:10" ht="15.75" thickBot="1" x14ac:dyDescent="0.3">
      <c r="A24" s="13" t="s">
        <v>81</v>
      </c>
      <c r="B24" s="1" t="s">
        <v>18</v>
      </c>
      <c r="C24" s="1" t="s">
        <v>30</v>
      </c>
      <c r="D24" s="1" t="s">
        <v>25</v>
      </c>
      <c r="E24" s="1" t="s">
        <v>58</v>
      </c>
      <c r="F24" s="1" t="s">
        <v>82</v>
      </c>
      <c r="G24" s="2">
        <v>9876571743</v>
      </c>
      <c r="H24" s="2">
        <v>43768</v>
      </c>
      <c r="I24" s="3">
        <v>42704</v>
      </c>
      <c r="J24" s="15" t="s">
        <v>38</v>
      </c>
    </row>
    <row r="25" spans="1:10" ht="30.75" thickBot="1" x14ac:dyDescent="0.3">
      <c r="A25" s="14" t="s">
        <v>83</v>
      </c>
      <c r="B25" s="4" t="s">
        <v>72</v>
      </c>
      <c r="C25" s="4" t="s">
        <v>77</v>
      </c>
      <c r="D25" s="4" t="s">
        <v>13</v>
      </c>
      <c r="E25" s="4" t="s">
        <v>44</v>
      </c>
      <c r="F25" s="4" t="s">
        <v>84</v>
      </c>
      <c r="G25" s="5">
        <v>9876512904</v>
      </c>
      <c r="H25" s="5">
        <v>84869</v>
      </c>
      <c r="I25" s="6">
        <v>42735</v>
      </c>
      <c r="J25" s="16" t="s">
        <v>16</v>
      </c>
    </row>
    <row r="26" spans="1:10" ht="15.75" thickBot="1" x14ac:dyDescent="0.3">
      <c r="A26" s="13" t="s">
        <v>85</v>
      </c>
      <c r="B26" s="1" t="s">
        <v>11</v>
      </c>
      <c r="C26" s="1" t="s">
        <v>19</v>
      </c>
      <c r="D26" s="1" t="s">
        <v>36</v>
      </c>
      <c r="E26" s="1" t="s">
        <v>14</v>
      </c>
      <c r="F26" s="1" t="s">
        <v>86</v>
      </c>
      <c r="G26" s="2">
        <v>9876511433</v>
      </c>
      <c r="H26" s="2">
        <v>81196</v>
      </c>
      <c r="I26" s="3">
        <v>42766</v>
      </c>
      <c r="J26" s="15" t="s">
        <v>22</v>
      </c>
    </row>
    <row r="27" spans="1:10" ht="30.75" thickBot="1" x14ac:dyDescent="0.3">
      <c r="A27" s="14" t="s">
        <v>87</v>
      </c>
      <c r="B27" s="4" t="s">
        <v>24</v>
      </c>
      <c r="C27" s="4" t="s">
        <v>55</v>
      </c>
      <c r="D27" s="4" t="s">
        <v>13</v>
      </c>
      <c r="E27" s="4" t="s">
        <v>44</v>
      </c>
      <c r="F27" s="4" t="s">
        <v>88</v>
      </c>
      <c r="G27" s="5">
        <v>9876563063</v>
      </c>
      <c r="H27" s="5">
        <v>91447</v>
      </c>
      <c r="I27" s="6">
        <v>42794</v>
      </c>
      <c r="J27" s="16" t="s">
        <v>38</v>
      </c>
    </row>
    <row r="28" spans="1:10" ht="15.75" thickBot="1" x14ac:dyDescent="0.3">
      <c r="A28" s="13" t="s">
        <v>89</v>
      </c>
      <c r="B28" s="1" t="s">
        <v>29</v>
      </c>
      <c r="C28" s="1" t="s">
        <v>19</v>
      </c>
      <c r="D28" s="1" t="s">
        <v>25</v>
      </c>
      <c r="E28" s="1" t="s">
        <v>26</v>
      </c>
      <c r="F28" s="1" t="s">
        <v>90</v>
      </c>
      <c r="G28" s="2">
        <v>9876548833</v>
      </c>
      <c r="H28" s="2">
        <v>45285</v>
      </c>
      <c r="I28" s="3">
        <v>42825</v>
      </c>
      <c r="J28" s="15" t="s">
        <v>38</v>
      </c>
    </row>
    <row r="29" spans="1:10" ht="30.75" thickBot="1" x14ac:dyDescent="0.3">
      <c r="A29" s="14" t="s">
        <v>91</v>
      </c>
      <c r="B29" s="4" t="s">
        <v>47</v>
      </c>
      <c r="C29" s="4" t="s">
        <v>50</v>
      </c>
      <c r="D29" s="4" t="s">
        <v>25</v>
      </c>
      <c r="E29" s="4" t="s">
        <v>44</v>
      </c>
      <c r="F29" s="4" t="s">
        <v>92</v>
      </c>
      <c r="G29" s="5">
        <v>9876587441</v>
      </c>
      <c r="H29" s="5">
        <v>47018</v>
      </c>
      <c r="I29" s="6">
        <v>42855</v>
      </c>
      <c r="J29" s="16" t="s">
        <v>22</v>
      </c>
    </row>
    <row r="30" spans="1:10" ht="30.75" thickBot="1" x14ac:dyDescent="0.3">
      <c r="A30" s="13" t="s">
        <v>93</v>
      </c>
      <c r="B30" s="1" t="s">
        <v>24</v>
      </c>
      <c r="C30" s="1" t="s">
        <v>77</v>
      </c>
      <c r="D30" s="1" t="s">
        <v>36</v>
      </c>
      <c r="E30" s="1" t="s">
        <v>44</v>
      </c>
      <c r="F30" s="1" t="s">
        <v>94</v>
      </c>
      <c r="G30" s="2">
        <v>9876524245</v>
      </c>
      <c r="H30" s="2">
        <v>52461</v>
      </c>
      <c r="I30" s="3">
        <v>42886</v>
      </c>
      <c r="J30" s="15" t="s">
        <v>22</v>
      </c>
    </row>
    <row r="31" spans="1:10" ht="15.75" thickBot="1" x14ac:dyDescent="0.3">
      <c r="A31" s="14" t="s">
        <v>95</v>
      </c>
      <c r="B31" s="4" t="s">
        <v>72</v>
      </c>
      <c r="C31" s="4" t="s">
        <v>77</v>
      </c>
      <c r="D31" s="4" t="s">
        <v>36</v>
      </c>
      <c r="E31" s="4" t="s">
        <v>14</v>
      </c>
      <c r="F31" s="4" t="s">
        <v>96</v>
      </c>
      <c r="G31" s="5">
        <v>9876577425</v>
      </c>
      <c r="H31" s="5">
        <v>43621</v>
      </c>
      <c r="I31" s="6">
        <v>42916</v>
      </c>
      <c r="J31" s="16" t="s">
        <v>22</v>
      </c>
    </row>
    <row r="32" spans="1:10" ht="15.75" thickBot="1" x14ac:dyDescent="0.3">
      <c r="A32" s="13" t="s">
        <v>97</v>
      </c>
      <c r="B32" s="1" t="s">
        <v>63</v>
      </c>
      <c r="C32" s="1" t="s">
        <v>50</v>
      </c>
      <c r="D32" s="1" t="s">
        <v>36</v>
      </c>
      <c r="E32" s="1" t="s">
        <v>58</v>
      </c>
      <c r="F32" s="1" t="s">
        <v>98</v>
      </c>
      <c r="G32" s="2">
        <v>9876575672</v>
      </c>
      <c r="H32" s="2">
        <v>98410</v>
      </c>
      <c r="I32" s="3">
        <v>42947</v>
      </c>
      <c r="J32" s="15" t="s">
        <v>38</v>
      </c>
    </row>
    <row r="33" spans="1:10" ht="30.75" thickBot="1" x14ac:dyDescent="0.3">
      <c r="A33" s="14" t="s">
        <v>99</v>
      </c>
      <c r="B33" s="4" t="s">
        <v>47</v>
      </c>
      <c r="C33" s="4" t="s">
        <v>12</v>
      </c>
      <c r="D33" s="4" t="s">
        <v>13</v>
      </c>
      <c r="E33" s="4" t="s">
        <v>44</v>
      </c>
      <c r="F33" s="4" t="s">
        <v>100</v>
      </c>
      <c r="G33" s="5">
        <v>9876595376</v>
      </c>
      <c r="H33" s="5">
        <v>75586</v>
      </c>
      <c r="I33" s="6">
        <v>42978</v>
      </c>
      <c r="J33" s="16" t="s">
        <v>38</v>
      </c>
    </row>
    <row r="34" spans="1:10" ht="15.75" thickBot="1" x14ac:dyDescent="0.3">
      <c r="A34" s="13" t="s">
        <v>101</v>
      </c>
      <c r="B34" s="1" t="s">
        <v>33</v>
      </c>
      <c r="C34" s="1" t="s">
        <v>77</v>
      </c>
      <c r="D34" s="1" t="s">
        <v>40</v>
      </c>
      <c r="E34" s="1" t="s">
        <v>14</v>
      </c>
      <c r="F34" s="1" t="s">
        <v>102</v>
      </c>
      <c r="G34" s="2">
        <v>9876514231</v>
      </c>
      <c r="H34" s="2">
        <v>93721</v>
      </c>
      <c r="I34" s="3">
        <v>43008</v>
      </c>
      <c r="J34" s="15" t="s">
        <v>16</v>
      </c>
    </row>
    <row r="35" spans="1:10" ht="15.75" thickBot="1" x14ac:dyDescent="0.3">
      <c r="A35" s="14" t="s">
        <v>103</v>
      </c>
      <c r="B35" s="4" t="s">
        <v>29</v>
      </c>
      <c r="C35" s="4" t="s">
        <v>12</v>
      </c>
      <c r="D35" s="4" t="s">
        <v>36</v>
      </c>
      <c r="E35" s="4" t="s">
        <v>58</v>
      </c>
      <c r="F35" s="4" t="s">
        <v>104</v>
      </c>
      <c r="G35" s="5">
        <v>9876580321</v>
      </c>
      <c r="H35" s="5">
        <v>56791</v>
      </c>
      <c r="I35" s="6">
        <v>43039</v>
      </c>
      <c r="J35" s="16" t="s">
        <v>22</v>
      </c>
    </row>
    <row r="36" spans="1:10" ht="15.75" thickBot="1" x14ac:dyDescent="0.3">
      <c r="A36" s="13" t="s">
        <v>105</v>
      </c>
      <c r="B36" s="1" t="s">
        <v>33</v>
      </c>
      <c r="C36" s="1" t="s">
        <v>55</v>
      </c>
      <c r="D36" s="1" t="s">
        <v>13</v>
      </c>
      <c r="E36" s="1" t="s">
        <v>26</v>
      </c>
      <c r="F36" s="1" t="s">
        <v>106</v>
      </c>
      <c r="G36" s="2">
        <v>9876595679</v>
      </c>
      <c r="H36" s="2">
        <v>87187</v>
      </c>
      <c r="I36" s="3">
        <v>43069</v>
      </c>
      <c r="J36" s="15" t="s">
        <v>16</v>
      </c>
    </row>
    <row r="37" spans="1:10" ht="15.75" thickBot="1" x14ac:dyDescent="0.3">
      <c r="A37" s="14" t="s">
        <v>107</v>
      </c>
      <c r="B37" s="4" t="s">
        <v>29</v>
      </c>
      <c r="C37" s="4" t="s">
        <v>12</v>
      </c>
      <c r="D37" s="4" t="s">
        <v>13</v>
      </c>
      <c r="E37" s="4" t="s">
        <v>14</v>
      </c>
      <c r="F37" s="4" t="s">
        <v>108</v>
      </c>
      <c r="G37" s="5">
        <v>9876517294</v>
      </c>
      <c r="H37" s="5">
        <v>51740</v>
      </c>
      <c r="I37" s="6">
        <v>43100</v>
      </c>
      <c r="J37" s="16" t="s">
        <v>16</v>
      </c>
    </row>
    <row r="38" spans="1:10" ht="15.75" thickBot="1" x14ac:dyDescent="0.3">
      <c r="A38" s="13" t="s">
        <v>109</v>
      </c>
      <c r="B38" s="1" t="s">
        <v>24</v>
      </c>
      <c r="C38" s="1" t="s">
        <v>30</v>
      </c>
      <c r="D38" s="1" t="s">
        <v>20</v>
      </c>
      <c r="E38" s="1" t="s">
        <v>26</v>
      </c>
      <c r="F38" s="1" t="s">
        <v>110</v>
      </c>
      <c r="G38" s="2">
        <v>9876592022</v>
      </c>
      <c r="H38" s="2">
        <v>87787</v>
      </c>
      <c r="I38" s="3">
        <v>43131</v>
      </c>
      <c r="J38" s="15" t="s">
        <v>22</v>
      </c>
    </row>
    <row r="39" spans="1:10" ht="15.75" thickBot="1" x14ac:dyDescent="0.3">
      <c r="A39" s="14" t="s">
        <v>111</v>
      </c>
      <c r="B39" s="4" t="s">
        <v>29</v>
      </c>
      <c r="C39" s="4" t="s">
        <v>77</v>
      </c>
      <c r="D39" s="4" t="s">
        <v>20</v>
      </c>
      <c r="E39" s="4" t="s">
        <v>14</v>
      </c>
      <c r="F39" s="4" t="s">
        <v>112</v>
      </c>
      <c r="G39" s="5">
        <v>9876599502</v>
      </c>
      <c r="H39" s="5">
        <v>42075</v>
      </c>
      <c r="I39" s="6">
        <v>43159</v>
      </c>
      <c r="J39" s="16" t="s">
        <v>38</v>
      </c>
    </row>
    <row r="40" spans="1:10" ht="30.75" thickBot="1" x14ac:dyDescent="0.3">
      <c r="A40" s="13" t="s">
        <v>113</v>
      </c>
      <c r="B40" s="1" t="s">
        <v>24</v>
      </c>
      <c r="C40" s="1" t="s">
        <v>77</v>
      </c>
      <c r="D40" s="1" t="s">
        <v>20</v>
      </c>
      <c r="E40" s="1" t="s">
        <v>44</v>
      </c>
      <c r="F40" s="1" t="s">
        <v>114</v>
      </c>
      <c r="G40" s="2">
        <v>9876551050</v>
      </c>
      <c r="H40" s="2">
        <v>91284</v>
      </c>
      <c r="I40" s="3">
        <v>43190</v>
      </c>
      <c r="J40" s="15" t="s">
        <v>38</v>
      </c>
    </row>
    <row r="41" spans="1:10" ht="15.75" thickBot="1" x14ac:dyDescent="0.3">
      <c r="A41" s="14" t="s">
        <v>115</v>
      </c>
      <c r="B41" s="4" t="s">
        <v>24</v>
      </c>
      <c r="C41" s="4" t="s">
        <v>19</v>
      </c>
      <c r="D41" s="4" t="s">
        <v>40</v>
      </c>
      <c r="E41" s="4" t="s">
        <v>41</v>
      </c>
      <c r="F41" s="4" t="s">
        <v>116</v>
      </c>
      <c r="G41" s="5">
        <v>9876592349</v>
      </c>
      <c r="H41" s="5">
        <v>63608</v>
      </c>
      <c r="I41" s="6">
        <v>43220</v>
      </c>
      <c r="J41" s="16" t="s">
        <v>16</v>
      </c>
    </row>
    <row r="42" spans="1:10" ht="15.75" thickBot="1" x14ac:dyDescent="0.3">
      <c r="A42" s="13" t="s">
        <v>117</v>
      </c>
      <c r="B42" s="1" t="s">
        <v>11</v>
      </c>
      <c r="C42" s="1" t="s">
        <v>30</v>
      </c>
      <c r="D42" s="1" t="s">
        <v>40</v>
      </c>
      <c r="E42" s="1" t="s">
        <v>26</v>
      </c>
      <c r="F42" s="1" t="s">
        <v>118</v>
      </c>
      <c r="G42" s="2">
        <v>9876551422</v>
      </c>
      <c r="H42" s="2">
        <v>68000</v>
      </c>
      <c r="I42" s="3">
        <v>43251</v>
      </c>
      <c r="J42" s="15" t="s">
        <v>22</v>
      </c>
    </row>
    <row r="43" spans="1:10" ht="15.75" thickBot="1" x14ac:dyDescent="0.3">
      <c r="A43" s="14" t="s">
        <v>119</v>
      </c>
      <c r="B43" s="4" t="s">
        <v>33</v>
      </c>
      <c r="C43" s="4" t="s">
        <v>55</v>
      </c>
      <c r="D43" s="4" t="s">
        <v>25</v>
      </c>
      <c r="E43" s="4" t="s">
        <v>41</v>
      </c>
      <c r="F43" s="4" t="s">
        <v>120</v>
      </c>
      <c r="G43" s="5">
        <v>9876511175</v>
      </c>
      <c r="H43" s="5">
        <v>52222</v>
      </c>
      <c r="I43" s="6">
        <v>43281</v>
      </c>
      <c r="J43" s="16" t="s">
        <v>16</v>
      </c>
    </row>
    <row r="44" spans="1:10" ht="15.75" thickBot="1" x14ac:dyDescent="0.3">
      <c r="A44" s="13" t="s">
        <v>121</v>
      </c>
      <c r="B44" s="1" t="s">
        <v>33</v>
      </c>
      <c r="C44" s="1" t="s">
        <v>50</v>
      </c>
      <c r="D44" s="1" t="s">
        <v>36</v>
      </c>
      <c r="E44" s="1" t="s">
        <v>26</v>
      </c>
      <c r="F44" s="1" t="s">
        <v>122</v>
      </c>
      <c r="G44" s="2">
        <v>9876593300</v>
      </c>
      <c r="H44" s="2">
        <v>65011</v>
      </c>
      <c r="I44" s="3">
        <v>43312</v>
      </c>
      <c r="J44" s="15" t="s">
        <v>22</v>
      </c>
    </row>
    <row r="45" spans="1:10" ht="15.75" thickBot="1" x14ac:dyDescent="0.3">
      <c r="A45" s="14" t="s">
        <v>123</v>
      </c>
      <c r="B45" s="4" t="s">
        <v>72</v>
      </c>
      <c r="C45" s="4" t="s">
        <v>50</v>
      </c>
      <c r="D45" s="4" t="s">
        <v>25</v>
      </c>
      <c r="E45" s="4" t="s">
        <v>58</v>
      </c>
      <c r="F45" s="4" t="s">
        <v>124</v>
      </c>
      <c r="G45" s="5">
        <v>9876587271</v>
      </c>
      <c r="H45" s="5">
        <v>44499</v>
      </c>
      <c r="I45" s="6">
        <v>43343</v>
      </c>
      <c r="J45" s="16" t="s">
        <v>22</v>
      </c>
    </row>
    <row r="46" spans="1:10" ht="15.75" thickBot="1" x14ac:dyDescent="0.3">
      <c r="A46" s="13" t="s">
        <v>125</v>
      </c>
      <c r="B46" s="1" t="s">
        <v>47</v>
      </c>
      <c r="C46" s="1" t="s">
        <v>55</v>
      </c>
      <c r="D46" s="1" t="s">
        <v>40</v>
      </c>
      <c r="E46" s="1" t="s">
        <v>58</v>
      </c>
      <c r="F46" s="1" t="s">
        <v>126</v>
      </c>
      <c r="G46" s="2">
        <v>9876567502</v>
      </c>
      <c r="H46" s="2">
        <v>94664</v>
      </c>
      <c r="I46" s="3">
        <v>43373</v>
      </c>
      <c r="J46" s="15" t="s">
        <v>22</v>
      </c>
    </row>
    <row r="47" spans="1:10" ht="30.75" thickBot="1" x14ac:dyDescent="0.3">
      <c r="A47" s="14" t="s">
        <v>127</v>
      </c>
      <c r="B47" s="4" t="s">
        <v>29</v>
      </c>
      <c r="C47" s="4" t="s">
        <v>30</v>
      </c>
      <c r="D47" s="4" t="s">
        <v>25</v>
      </c>
      <c r="E47" s="4" t="s">
        <v>44</v>
      </c>
      <c r="F47" s="4" t="s">
        <v>128</v>
      </c>
      <c r="G47" s="5">
        <v>9876596399</v>
      </c>
      <c r="H47" s="5">
        <v>93554</v>
      </c>
      <c r="I47" s="6">
        <v>43404</v>
      </c>
      <c r="J47" s="16" t="s">
        <v>38</v>
      </c>
    </row>
    <row r="48" spans="1:10" ht="15.75" thickBot="1" x14ac:dyDescent="0.3">
      <c r="A48" s="13" t="s">
        <v>129</v>
      </c>
      <c r="B48" s="1" t="s">
        <v>29</v>
      </c>
      <c r="C48" s="1" t="s">
        <v>30</v>
      </c>
      <c r="D48" s="1" t="s">
        <v>25</v>
      </c>
      <c r="E48" s="1" t="s">
        <v>41</v>
      </c>
      <c r="F48" s="1" t="s">
        <v>130</v>
      </c>
      <c r="G48" s="2">
        <v>9876588800</v>
      </c>
      <c r="H48" s="2">
        <v>51700</v>
      </c>
      <c r="I48" s="3">
        <v>43434</v>
      </c>
      <c r="J48" s="15" t="s">
        <v>22</v>
      </c>
    </row>
    <row r="49" spans="1:10" ht="15.75" thickBot="1" x14ac:dyDescent="0.3">
      <c r="A49" s="14" t="s">
        <v>131</v>
      </c>
      <c r="B49" s="4" t="s">
        <v>29</v>
      </c>
      <c r="C49" s="4" t="s">
        <v>55</v>
      </c>
      <c r="D49" s="4" t="s">
        <v>20</v>
      </c>
      <c r="E49" s="4" t="s">
        <v>14</v>
      </c>
      <c r="F49" s="4" t="s">
        <v>132</v>
      </c>
      <c r="G49" s="5">
        <v>9876538496</v>
      </c>
      <c r="H49" s="5">
        <v>47113</v>
      </c>
      <c r="I49" s="6">
        <v>43465</v>
      </c>
      <c r="J49" s="16" t="s">
        <v>22</v>
      </c>
    </row>
    <row r="50" spans="1:10" ht="15.75" thickBot="1" x14ac:dyDescent="0.3">
      <c r="A50" s="13" t="s">
        <v>133</v>
      </c>
      <c r="B50" s="1" t="s">
        <v>18</v>
      </c>
      <c r="C50" s="1" t="s">
        <v>30</v>
      </c>
      <c r="D50" s="1" t="s">
        <v>36</v>
      </c>
      <c r="E50" s="1" t="s">
        <v>41</v>
      </c>
      <c r="F50" s="1" t="s">
        <v>134</v>
      </c>
      <c r="G50" s="2">
        <v>9876566910</v>
      </c>
      <c r="H50" s="2">
        <v>56755</v>
      </c>
      <c r="I50" s="3">
        <v>43496</v>
      </c>
      <c r="J50" s="15" t="s">
        <v>16</v>
      </c>
    </row>
    <row r="51" spans="1:10" x14ac:dyDescent="0.25">
      <c r="A51" s="20" t="s">
        <v>135</v>
      </c>
      <c r="B51" s="21" t="s">
        <v>29</v>
      </c>
      <c r="C51" s="21" t="s">
        <v>77</v>
      </c>
      <c r="D51" s="21" t="s">
        <v>36</v>
      </c>
      <c r="E51" s="21" t="s">
        <v>26</v>
      </c>
      <c r="F51" s="21" t="s">
        <v>136</v>
      </c>
      <c r="G51" s="22">
        <v>9876562570</v>
      </c>
      <c r="H51" s="22">
        <v>61252</v>
      </c>
      <c r="I51" s="23">
        <v>43524</v>
      </c>
      <c r="J51" s="24" t="s">
        <v>22</v>
      </c>
    </row>
    <row r="65" spans="1:51" x14ac:dyDescent="0.25">
      <c r="A65" t="s">
        <v>138</v>
      </c>
      <c r="B65" t="s">
        <v>139</v>
      </c>
      <c r="C65" t="s">
        <v>140</v>
      </c>
      <c r="D65" t="s">
        <v>141</v>
      </c>
      <c r="E65" t="s">
        <v>142</v>
      </c>
      <c r="F65" t="s">
        <v>143</v>
      </c>
      <c r="G65" t="s">
        <v>144</v>
      </c>
      <c r="H65" t="s">
        <v>145</v>
      </c>
      <c r="I65" t="s">
        <v>146</v>
      </c>
      <c r="J65" t="s">
        <v>147</v>
      </c>
      <c r="K65" t="s">
        <v>148</v>
      </c>
      <c r="L65" t="s">
        <v>149</v>
      </c>
      <c r="M65" t="s">
        <v>150</v>
      </c>
      <c r="N65" t="s">
        <v>151</v>
      </c>
      <c r="O65" t="s">
        <v>152</v>
      </c>
      <c r="P65" t="s">
        <v>153</v>
      </c>
      <c r="Q65" t="s">
        <v>154</v>
      </c>
      <c r="R65" t="s">
        <v>155</v>
      </c>
      <c r="S65" t="s">
        <v>156</v>
      </c>
      <c r="T65" t="s">
        <v>157</v>
      </c>
      <c r="U65" t="s">
        <v>158</v>
      </c>
      <c r="V65" t="s">
        <v>159</v>
      </c>
      <c r="W65" t="s">
        <v>160</v>
      </c>
      <c r="X65" t="s">
        <v>161</v>
      </c>
      <c r="Y65" t="s">
        <v>162</v>
      </c>
      <c r="Z65" t="s">
        <v>163</v>
      </c>
      <c r="AA65" t="s">
        <v>164</v>
      </c>
      <c r="AB65" t="s">
        <v>165</v>
      </c>
      <c r="AC65" t="s">
        <v>166</v>
      </c>
      <c r="AD65" t="s">
        <v>167</v>
      </c>
      <c r="AE65" t="s">
        <v>168</v>
      </c>
      <c r="AF65" t="s">
        <v>169</v>
      </c>
      <c r="AG65" t="s">
        <v>170</v>
      </c>
      <c r="AH65" t="s">
        <v>171</v>
      </c>
      <c r="AI65" t="s">
        <v>172</v>
      </c>
      <c r="AJ65" t="s">
        <v>173</v>
      </c>
      <c r="AK65" t="s">
        <v>174</v>
      </c>
      <c r="AL65" t="s">
        <v>175</v>
      </c>
      <c r="AM65" t="s">
        <v>176</v>
      </c>
      <c r="AN65" t="s">
        <v>177</v>
      </c>
      <c r="AO65" t="s">
        <v>178</v>
      </c>
      <c r="AP65" t="s">
        <v>179</v>
      </c>
      <c r="AQ65" t="s">
        <v>180</v>
      </c>
      <c r="AR65" t="s">
        <v>181</v>
      </c>
      <c r="AS65" t="s">
        <v>182</v>
      </c>
      <c r="AT65" t="s">
        <v>183</v>
      </c>
      <c r="AU65" t="s">
        <v>184</v>
      </c>
      <c r="AV65" t="s">
        <v>185</v>
      </c>
      <c r="AW65" t="s">
        <v>186</v>
      </c>
      <c r="AX65" t="s">
        <v>187</v>
      </c>
      <c r="AY65" t="s">
        <v>188</v>
      </c>
    </row>
    <row r="66" spans="1:51" x14ac:dyDescent="0.25">
      <c r="A66" t="s">
        <v>0</v>
      </c>
      <c r="B66" t="s">
        <v>10</v>
      </c>
      <c r="C66" t="s">
        <v>17</v>
      </c>
      <c r="D66" t="s">
        <v>23</v>
      </c>
      <c r="E66" t="s">
        <v>28</v>
      </c>
      <c r="F66" t="s">
        <v>32</v>
      </c>
      <c r="G66" t="s">
        <v>35</v>
      </c>
      <c r="H66" t="s">
        <v>39</v>
      </c>
      <c r="I66" t="s">
        <v>43</v>
      </c>
      <c r="J66" t="s">
        <v>46</v>
      </c>
      <c r="K66" t="s">
        <v>49</v>
      </c>
      <c r="L66" t="s">
        <v>52</v>
      </c>
      <c r="M66" t="s">
        <v>54</v>
      </c>
      <c r="N66" t="s">
        <v>57</v>
      </c>
      <c r="O66" t="s">
        <v>60</v>
      </c>
      <c r="P66" t="s">
        <v>62</v>
      </c>
      <c r="Q66" t="s">
        <v>65</v>
      </c>
      <c r="R66" t="s">
        <v>67</v>
      </c>
      <c r="S66" t="s">
        <v>69</v>
      </c>
      <c r="T66" t="s">
        <v>71</v>
      </c>
      <c r="U66" t="s">
        <v>74</v>
      </c>
      <c r="V66" t="s">
        <v>76</v>
      </c>
      <c r="W66" t="s">
        <v>79</v>
      </c>
      <c r="X66" t="s">
        <v>81</v>
      </c>
      <c r="Y66" t="s">
        <v>83</v>
      </c>
      <c r="Z66" t="s">
        <v>85</v>
      </c>
      <c r="AA66" t="s">
        <v>87</v>
      </c>
      <c r="AB66" t="s">
        <v>89</v>
      </c>
      <c r="AC66" t="s">
        <v>91</v>
      </c>
      <c r="AD66" t="s">
        <v>93</v>
      </c>
      <c r="AE66" t="s">
        <v>95</v>
      </c>
      <c r="AF66" t="s">
        <v>97</v>
      </c>
      <c r="AG66" t="s">
        <v>99</v>
      </c>
      <c r="AH66" t="s">
        <v>101</v>
      </c>
      <c r="AI66" t="s">
        <v>103</v>
      </c>
      <c r="AJ66" t="s">
        <v>105</v>
      </c>
      <c r="AK66" t="s">
        <v>107</v>
      </c>
      <c r="AL66" t="s">
        <v>109</v>
      </c>
      <c r="AM66" t="s">
        <v>111</v>
      </c>
      <c r="AN66" t="s">
        <v>113</v>
      </c>
      <c r="AO66" t="s">
        <v>115</v>
      </c>
      <c r="AP66" t="s">
        <v>117</v>
      </c>
      <c r="AQ66" t="s">
        <v>119</v>
      </c>
      <c r="AR66" t="s">
        <v>121</v>
      </c>
      <c r="AS66" t="s">
        <v>123</v>
      </c>
      <c r="AT66" t="s">
        <v>125</v>
      </c>
      <c r="AU66" t="s">
        <v>127</v>
      </c>
      <c r="AV66" t="s">
        <v>129</v>
      </c>
      <c r="AW66" t="s">
        <v>131</v>
      </c>
      <c r="AX66" t="s">
        <v>133</v>
      </c>
      <c r="AY66" t="s">
        <v>135</v>
      </c>
    </row>
    <row r="67" spans="1:51" x14ac:dyDescent="0.25">
      <c r="A67" t="s">
        <v>1</v>
      </c>
      <c r="B67" t="s">
        <v>11</v>
      </c>
      <c r="C67" t="s">
        <v>18</v>
      </c>
      <c r="D67" t="s">
        <v>24</v>
      </c>
      <c r="E67" t="s">
        <v>29</v>
      </c>
      <c r="F67" t="s">
        <v>33</v>
      </c>
      <c r="G67" t="s">
        <v>33</v>
      </c>
      <c r="H67" t="s">
        <v>18</v>
      </c>
      <c r="I67" t="s">
        <v>18</v>
      </c>
      <c r="J67" t="s">
        <v>47</v>
      </c>
      <c r="K67" t="s">
        <v>29</v>
      </c>
      <c r="L67" t="s">
        <v>29</v>
      </c>
      <c r="M67" t="s">
        <v>33</v>
      </c>
      <c r="N67" t="s">
        <v>18</v>
      </c>
      <c r="O67" t="s">
        <v>47</v>
      </c>
      <c r="P67" t="s">
        <v>63</v>
      </c>
      <c r="Q67" t="s">
        <v>63</v>
      </c>
      <c r="R67" t="s">
        <v>29</v>
      </c>
      <c r="S67" t="s">
        <v>11</v>
      </c>
      <c r="T67" t="s">
        <v>72</v>
      </c>
      <c r="U67" t="s">
        <v>11</v>
      </c>
      <c r="V67" t="s">
        <v>24</v>
      </c>
      <c r="W67" t="s">
        <v>47</v>
      </c>
      <c r="X67" t="s">
        <v>18</v>
      </c>
      <c r="Y67" t="s">
        <v>72</v>
      </c>
      <c r="Z67" t="s">
        <v>11</v>
      </c>
      <c r="AA67" t="s">
        <v>24</v>
      </c>
      <c r="AB67" t="s">
        <v>29</v>
      </c>
      <c r="AC67" t="s">
        <v>47</v>
      </c>
      <c r="AD67" t="s">
        <v>24</v>
      </c>
      <c r="AE67" t="s">
        <v>72</v>
      </c>
      <c r="AF67" t="s">
        <v>63</v>
      </c>
      <c r="AG67" t="s">
        <v>47</v>
      </c>
      <c r="AH67" t="s">
        <v>33</v>
      </c>
      <c r="AI67" t="s">
        <v>29</v>
      </c>
      <c r="AJ67" t="s">
        <v>33</v>
      </c>
      <c r="AK67" t="s">
        <v>29</v>
      </c>
      <c r="AL67" t="s">
        <v>24</v>
      </c>
      <c r="AM67" t="s">
        <v>29</v>
      </c>
      <c r="AN67" t="s">
        <v>24</v>
      </c>
      <c r="AO67" t="s">
        <v>24</v>
      </c>
      <c r="AP67" t="s">
        <v>11</v>
      </c>
      <c r="AQ67" t="s">
        <v>33</v>
      </c>
      <c r="AR67" t="s">
        <v>33</v>
      </c>
      <c r="AS67" t="s">
        <v>72</v>
      </c>
      <c r="AT67" t="s">
        <v>47</v>
      </c>
      <c r="AU67" t="s">
        <v>29</v>
      </c>
      <c r="AV67" t="s">
        <v>29</v>
      </c>
      <c r="AW67" t="s">
        <v>29</v>
      </c>
      <c r="AX67" t="s">
        <v>18</v>
      </c>
      <c r="AY67" t="s">
        <v>29</v>
      </c>
    </row>
    <row r="68" spans="1:51" x14ac:dyDescent="0.25">
      <c r="A68" t="s">
        <v>2</v>
      </c>
      <c r="B68" t="s">
        <v>12</v>
      </c>
      <c r="C68" t="s">
        <v>19</v>
      </c>
      <c r="D68" t="s">
        <v>12</v>
      </c>
      <c r="E68" t="s">
        <v>30</v>
      </c>
      <c r="F68" t="s">
        <v>12</v>
      </c>
      <c r="G68" t="s">
        <v>12</v>
      </c>
      <c r="H68" t="s">
        <v>19</v>
      </c>
      <c r="I68" t="s">
        <v>19</v>
      </c>
      <c r="J68" t="s">
        <v>19</v>
      </c>
      <c r="K68" t="s">
        <v>50</v>
      </c>
      <c r="L68" t="s">
        <v>50</v>
      </c>
      <c r="M68" t="s">
        <v>55</v>
      </c>
      <c r="N68" t="s">
        <v>50</v>
      </c>
      <c r="O68" t="s">
        <v>30</v>
      </c>
      <c r="P68" t="s">
        <v>55</v>
      </c>
      <c r="Q68" t="s">
        <v>50</v>
      </c>
      <c r="R68" t="s">
        <v>12</v>
      </c>
      <c r="S68" t="s">
        <v>19</v>
      </c>
      <c r="T68" t="s">
        <v>12</v>
      </c>
      <c r="U68" t="s">
        <v>30</v>
      </c>
      <c r="V68" t="s">
        <v>77</v>
      </c>
      <c r="W68" t="s">
        <v>50</v>
      </c>
      <c r="X68" t="s">
        <v>30</v>
      </c>
      <c r="Y68" t="s">
        <v>77</v>
      </c>
      <c r="Z68" t="s">
        <v>19</v>
      </c>
      <c r="AA68" t="s">
        <v>55</v>
      </c>
      <c r="AB68" t="s">
        <v>19</v>
      </c>
      <c r="AC68" t="s">
        <v>50</v>
      </c>
      <c r="AD68" t="s">
        <v>77</v>
      </c>
      <c r="AE68" t="s">
        <v>77</v>
      </c>
      <c r="AF68" t="s">
        <v>50</v>
      </c>
      <c r="AG68" t="s">
        <v>12</v>
      </c>
      <c r="AH68" t="s">
        <v>77</v>
      </c>
      <c r="AI68" t="s">
        <v>12</v>
      </c>
      <c r="AJ68" t="s">
        <v>55</v>
      </c>
      <c r="AK68" t="s">
        <v>12</v>
      </c>
      <c r="AL68" t="s">
        <v>30</v>
      </c>
      <c r="AM68" t="s">
        <v>77</v>
      </c>
      <c r="AN68" t="s">
        <v>77</v>
      </c>
      <c r="AO68" t="s">
        <v>19</v>
      </c>
      <c r="AP68" t="s">
        <v>30</v>
      </c>
      <c r="AQ68" t="s">
        <v>55</v>
      </c>
      <c r="AR68" t="s">
        <v>50</v>
      </c>
      <c r="AS68" t="s">
        <v>50</v>
      </c>
      <c r="AT68" t="s">
        <v>55</v>
      </c>
      <c r="AU68" t="s">
        <v>30</v>
      </c>
      <c r="AV68" t="s">
        <v>30</v>
      </c>
      <c r="AW68" t="s">
        <v>55</v>
      </c>
      <c r="AX68" t="s">
        <v>30</v>
      </c>
      <c r="AY68" t="s">
        <v>77</v>
      </c>
    </row>
    <row r="69" spans="1:51" x14ac:dyDescent="0.25">
      <c r="A69" t="s">
        <v>3</v>
      </c>
      <c r="B69" t="s">
        <v>13</v>
      </c>
      <c r="C69" t="s">
        <v>20</v>
      </c>
      <c r="D69" t="s">
        <v>25</v>
      </c>
      <c r="E69" t="s">
        <v>25</v>
      </c>
      <c r="F69" t="s">
        <v>25</v>
      </c>
      <c r="G69" t="s">
        <v>36</v>
      </c>
      <c r="H69" t="s">
        <v>40</v>
      </c>
      <c r="I69" t="s">
        <v>13</v>
      </c>
      <c r="J69" t="s">
        <v>20</v>
      </c>
      <c r="K69" t="s">
        <v>40</v>
      </c>
      <c r="L69" t="s">
        <v>36</v>
      </c>
      <c r="M69" t="s">
        <v>40</v>
      </c>
      <c r="N69" t="s">
        <v>20</v>
      </c>
      <c r="O69" t="s">
        <v>13</v>
      </c>
      <c r="P69" t="s">
        <v>40</v>
      </c>
      <c r="Q69" t="s">
        <v>36</v>
      </c>
      <c r="R69" t="s">
        <v>36</v>
      </c>
      <c r="S69" t="s">
        <v>13</v>
      </c>
      <c r="T69" t="s">
        <v>20</v>
      </c>
      <c r="U69" t="s">
        <v>25</v>
      </c>
      <c r="V69" t="s">
        <v>13</v>
      </c>
      <c r="W69" t="s">
        <v>36</v>
      </c>
      <c r="X69" t="s">
        <v>25</v>
      </c>
      <c r="Y69" t="s">
        <v>13</v>
      </c>
      <c r="Z69" t="s">
        <v>36</v>
      </c>
      <c r="AA69" t="s">
        <v>13</v>
      </c>
      <c r="AB69" t="s">
        <v>25</v>
      </c>
      <c r="AC69" t="s">
        <v>25</v>
      </c>
      <c r="AD69" t="s">
        <v>36</v>
      </c>
      <c r="AE69" t="s">
        <v>36</v>
      </c>
      <c r="AF69" t="s">
        <v>36</v>
      </c>
      <c r="AG69" t="s">
        <v>13</v>
      </c>
      <c r="AH69" t="s">
        <v>40</v>
      </c>
      <c r="AI69" t="s">
        <v>36</v>
      </c>
      <c r="AJ69" t="s">
        <v>13</v>
      </c>
      <c r="AK69" t="s">
        <v>13</v>
      </c>
      <c r="AL69" t="s">
        <v>20</v>
      </c>
      <c r="AM69" t="s">
        <v>20</v>
      </c>
      <c r="AN69" t="s">
        <v>20</v>
      </c>
      <c r="AO69" t="s">
        <v>40</v>
      </c>
      <c r="AP69" t="s">
        <v>40</v>
      </c>
      <c r="AQ69" t="s">
        <v>25</v>
      </c>
      <c r="AR69" t="s">
        <v>36</v>
      </c>
      <c r="AS69" t="s">
        <v>25</v>
      </c>
      <c r="AT69" t="s">
        <v>40</v>
      </c>
      <c r="AU69" t="s">
        <v>25</v>
      </c>
      <c r="AV69" t="s">
        <v>25</v>
      </c>
      <c r="AW69" t="s">
        <v>20</v>
      </c>
      <c r="AX69" t="s">
        <v>36</v>
      </c>
      <c r="AY69" t="s">
        <v>36</v>
      </c>
    </row>
    <row r="70" spans="1:51" x14ac:dyDescent="0.25">
      <c r="A70" t="s">
        <v>4</v>
      </c>
      <c r="B70" t="s">
        <v>14</v>
      </c>
      <c r="C70" t="s">
        <v>14</v>
      </c>
      <c r="D70" t="s">
        <v>26</v>
      </c>
      <c r="E70" t="s">
        <v>26</v>
      </c>
      <c r="F70" t="s">
        <v>14</v>
      </c>
      <c r="G70" t="s">
        <v>14</v>
      </c>
      <c r="H70" t="s">
        <v>41</v>
      </c>
      <c r="I70" t="s">
        <v>44</v>
      </c>
      <c r="J70" t="s">
        <v>44</v>
      </c>
      <c r="K70" t="s">
        <v>26</v>
      </c>
      <c r="L70" t="s">
        <v>14</v>
      </c>
      <c r="M70" t="s">
        <v>44</v>
      </c>
      <c r="N70" t="s">
        <v>58</v>
      </c>
      <c r="O70" t="s">
        <v>44</v>
      </c>
      <c r="P70" t="s">
        <v>58</v>
      </c>
      <c r="Q70" t="s">
        <v>58</v>
      </c>
      <c r="R70" t="s">
        <v>26</v>
      </c>
      <c r="S70" t="s">
        <v>14</v>
      </c>
      <c r="T70" t="s">
        <v>44</v>
      </c>
      <c r="U70" t="s">
        <v>41</v>
      </c>
      <c r="V70" t="s">
        <v>14</v>
      </c>
      <c r="W70" t="s">
        <v>14</v>
      </c>
      <c r="X70" t="s">
        <v>58</v>
      </c>
      <c r="Y70" t="s">
        <v>44</v>
      </c>
      <c r="Z70" t="s">
        <v>14</v>
      </c>
      <c r="AA70" t="s">
        <v>44</v>
      </c>
      <c r="AB70" t="s">
        <v>26</v>
      </c>
      <c r="AC70" t="s">
        <v>44</v>
      </c>
      <c r="AD70" t="s">
        <v>44</v>
      </c>
      <c r="AE70" t="s">
        <v>14</v>
      </c>
      <c r="AF70" t="s">
        <v>58</v>
      </c>
      <c r="AG70" t="s">
        <v>44</v>
      </c>
      <c r="AH70" t="s">
        <v>14</v>
      </c>
      <c r="AI70" t="s">
        <v>58</v>
      </c>
      <c r="AJ70" t="s">
        <v>26</v>
      </c>
      <c r="AK70" t="s">
        <v>14</v>
      </c>
      <c r="AL70" t="s">
        <v>26</v>
      </c>
      <c r="AM70" t="s">
        <v>14</v>
      </c>
      <c r="AN70" t="s">
        <v>44</v>
      </c>
      <c r="AO70" t="s">
        <v>41</v>
      </c>
      <c r="AP70" t="s">
        <v>26</v>
      </c>
      <c r="AQ70" t="s">
        <v>41</v>
      </c>
      <c r="AR70" t="s">
        <v>26</v>
      </c>
      <c r="AS70" t="s">
        <v>58</v>
      </c>
      <c r="AT70" t="s">
        <v>58</v>
      </c>
      <c r="AU70" t="s">
        <v>44</v>
      </c>
      <c r="AV70" t="s">
        <v>41</v>
      </c>
      <c r="AW70" t="s">
        <v>14</v>
      </c>
      <c r="AX70" t="s">
        <v>41</v>
      </c>
      <c r="AY70" t="s">
        <v>26</v>
      </c>
    </row>
    <row r="71" spans="1:51" x14ac:dyDescent="0.25">
      <c r="A71" t="s">
        <v>5</v>
      </c>
      <c r="B71" t="s">
        <v>15</v>
      </c>
      <c r="C71" t="s">
        <v>21</v>
      </c>
      <c r="D71" t="s">
        <v>27</v>
      </c>
      <c r="E71" t="s">
        <v>31</v>
      </c>
      <c r="F71" t="s">
        <v>34</v>
      </c>
      <c r="G71" t="s">
        <v>37</v>
      </c>
      <c r="H71" t="s">
        <v>42</v>
      </c>
      <c r="I71" t="s">
        <v>45</v>
      </c>
      <c r="J71" t="s">
        <v>48</v>
      </c>
      <c r="K71" t="s">
        <v>51</v>
      </c>
      <c r="L71" t="s">
        <v>53</v>
      </c>
      <c r="M71" t="s">
        <v>56</v>
      </c>
      <c r="N71" t="s">
        <v>59</v>
      </c>
      <c r="O71" t="s">
        <v>61</v>
      </c>
      <c r="P71" t="s">
        <v>64</v>
      </c>
      <c r="Q71" t="s">
        <v>66</v>
      </c>
      <c r="R71" t="s">
        <v>68</v>
      </c>
      <c r="S71" t="s">
        <v>70</v>
      </c>
      <c r="T71" t="s">
        <v>73</v>
      </c>
      <c r="U71" t="s">
        <v>75</v>
      </c>
      <c r="V71" t="s">
        <v>78</v>
      </c>
      <c r="W71" t="s">
        <v>80</v>
      </c>
      <c r="X71" t="s">
        <v>82</v>
      </c>
      <c r="Y71" t="s">
        <v>84</v>
      </c>
      <c r="Z71" t="s">
        <v>86</v>
      </c>
      <c r="AA71" t="s">
        <v>88</v>
      </c>
      <c r="AB71" t="s">
        <v>90</v>
      </c>
      <c r="AC71" t="s">
        <v>92</v>
      </c>
      <c r="AD71" t="s">
        <v>94</v>
      </c>
      <c r="AE71" t="s">
        <v>96</v>
      </c>
      <c r="AF71" t="s">
        <v>98</v>
      </c>
      <c r="AG71" t="s">
        <v>100</v>
      </c>
      <c r="AH71" t="s">
        <v>102</v>
      </c>
      <c r="AI71" t="s">
        <v>104</v>
      </c>
      <c r="AJ71" t="s">
        <v>106</v>
      </c>
      <c r="AK71" t="s">
        <v>108</v>
      </c>
      <c r="AL71" t="s">
        <v>110</v>
      </c>
      <c r="AM71" t="s">
        <v>112</v>
      </c>
      <c r="AN71" t="s">
        <v>114</v>
      </c>
      <c r="AO71" t="s">
        <v>116</v>
      </c>
      <c r="AP71" t="s">
        <v>118</v>
      </c>
      <c r="AQ71" t="s">
        <v>120</v>
      </c>
      <c r="AR71" t="s">
        <v>122</v>
      </c>
      <c r="AS71" t="s">
        <v>124</v>
      </c>
      <c r="AT71" t="s">
        <v>126</v>
      </c>
      <c r="AU71" t="s">
        <v>128</v>
      </c>
      <c r="AV71" t="s">
        <v>130</v>
      </c>
      <c r="AW71" t="s">
        <v>132</v>
      </c>
      <c r="AX71" t="s">
        <v>134</v>
      </c>
      <c r="AY71" t="s">
        <v>136</v>
      </c>
    </row>
    <row r="72" spans="1:51" x14ac:dyDescent="0.25">
      <c r="A72" t="s">
        <v>6</v>
      </c>
      <c r="B72">
        <v>9876544545</v>
      </c>
      <c r="C72">
        <v>9876541529</v>
      </c>
      <c r="D72">
        <v>9880000000</v>
      </c>
      <c r="E72">
        <v>9876528803</v>
      </c>
      <c r="F72">
        <v>9876540655</v>
      </c>
      <c r="G72">
        <v>9876534004</v>
      </c>
      <c r="H72">
        <v>9876530256</v>
      </c>
      <c r="I72">
        <v>9876556440</v>
      </c>
      <c r="J72">
        <v>9876559521</v>
      </c>
      <c r="K72">
        <v>9876552821</v>
      </c>
      <c r="L72">
        <v>9876538558</v>
      </c>
      <c r="M72">
        <v>9876567729</v>
      </c>
      <c r="N72">
        <v>9876583360</v>
      </c>
      <c r="O72">
        <v>9876576181</v>
      </c>
      <c r="P72">
        <v>9876579770</v>
      </c>
      <c r="Q72">
        <v>9876590379</v>
      </c>
      <c r="R72">
        <v>9876539815</v>
      </c>
      <c r="S72">
        <v>9876534982</v>
      </c>
      <c r="T72">
        <v>9876594471</v>
      </c>
      <c r="U72">
        <v>9876546986</v>
      </c>
      <c r="V72">
        <v>9876525405</v>
      </c>
      <c r="W72">
        <v>9876517236</v>
      </c>
      <c r="X72">
        <v>9876571743</v>
      </c>
      <c r="Y72">
        <v>9876512904</v>
      </c>
      <c r="Z72">
        <v>9876511433</v>
      </c>
      <c r="AA72">
        <v>9876563063</v>
      </c>
      <c r="AB72">
        <v>9876548833</v>
      </c>
      <c r="AC72">
        <v>9876587441</v>
      </c>
      <c r="AD72">
        <v>9876524245</v>
      </c>
      <c r="AE72">
        <v>9876577425</v>
      </c>
      <c r="AF72">
        <v>9876575672</v>
      </c>
      <c r="AG72">
        <v>9876595376</v>
      </c>
      <c r="AH72">
        <v>9876514231</v>
      </c>
      <c r="AI72">
        <v>9876580321</v>
      </c>
      <c r="AJ72">
        <v>9876595679</v>
      </c>
      <c r="AK72">
        <v>9876517294</v>
      </c>
      <c r="AL72">
        <v>9876592022</v>
      </c>
      <c r="AM72">
        <v>9876599502</v>
      </c>
      <c r="AN72">
        <v>9876551050</v>
      </c>
      <c r="AO72">
        <v>9876592349</v>
      </c>
      <c r="AP72">
        <v>9876551422</v>
      </c>
      <c r="AQ72">
        <v>9876511175</v>
      </c>
      <c r="AR72">
        <v>9876593300</v>
      </c>
      <c r="AS72">
        <v>9876587271</v>
      </c>
      <c r="AT72">
        <v>9876567502</v>
      </c>
      <c r="AU72">
        <v>9876596399</v>
      </c>
      <c r="AV72">
        <v>9876588800</v>
      </c>
      <c r="AW72">
        <v>9876538496</v>
      </c>
      <c r="AX72">
        <v>9876566910</v>
      </c>
      <c r="AY72">
        <v>9876562570</v>
      </c>
    </row>
    <row r="73" spans="1:51" x14ac:dyDescent="0.25">
      <c r="A73" t="s">
        <v>7</v>
      </c>
      <c r="B73">
        <v>78858</v>
      </c>
      <c r="C73">
        <v>71407</v>
      </c>
      <c r="D73">
        <v>91776</v>
      </c>
      <c r="E73">
        <v>75141</v>
      </c>
      <c r="F73">
        <v>88799</v>
      </c>
      <c r="G73">
        <v>40225</v>
      </c>
      <c r="H73">
        <v>49923</v>
      </c>
      <c r="I73">
        <v>47477</v>
      </c>
      <c r="J73">
        <v>61874</v>
      </c>
      <c r="K73">
        <v>80719</v>
      </c>
      <c r="L73">
        <v>97074</v>
      </c>
      <c r="M73">
        <v>80544</v>
      </c>
      <c r="N73">
        <v>56494</v>
      </c>
      <c r="O73">
        <v>49476</v>
      </c>
      <c r="P73">
        <v>62504</v>
      </c>
      <c r="Q73">
        <v>46589</v>
      </c>
      <c r="R73">
        <v>79498</v>
      </c>
      <c r="S73">
        <v>74339</v>
      </c>
      <c r="T73">
        <v>58010</v>
      </c>
      <c r="U73">
        <v>67699</v>
      </c>
      <c r="V73">
        <v>98459</v>
      </c>
      <c r="W73">
        <v>62283</v>
      </c>
      <c r="X73">
        <v>43768</v>
      </c>
      <c r="Y73">
        <v>84869</v>
      </c>
      <c r="Z73">
        <v>81196</v>
      </c>
      <c r="AA73">
        <v>91447</v>
      </c>
      <c r="AB73">
        <v>45285</v>
      </c>
      <c r="AC73">
        <v>47018</v>
      </c>
      <c r="AD73">
        <v>52461</v>
      </c>
      <c r="AE73">
        <v>43621</v>
      </c>
      <c r="AF73">
        <v>98410</v>
      </c>
      <c r="AG73">
        <v>75586</v>
      </c>
      <c r="AH73">
        <v>93721</v>
      </c>
      <c r="AI73">
        <v>56791</v>
      </c>
      <c r="AJ73">
        <v>87187</v>
      </c>
      <c r="AK73">
        <v>51740</v>
      </c>
      <c r="AL73">
        <v>87787</v>
      </c>
      <c r="AM73">
        <v>42075</v>
      </c>
      <c r="AN73">
        <v>91284</v>
      </c>
      <c r="AO73">
        <v>63608</v>
      </c>
      <c r="AP73">
        <v>68000</v>
      </c>
      <c r="AQ73">
        <v>52222</v>
      </c>
      <c r="AR73">
        <v>65011</v>
      </c>
      <c r="AS73">
        <v>44499</v>
      </c>
      <c r="AT73">
        <v>94664</v>
      </c>
      <c r="AU73">
        <v>93554</v>
      </c>
      <c r="AV73">
        <v>51700</v>
      </c>
      <c r="AW73">
        <v>47113</v>
      </c>
      <c r="AX73">
        <v>56755</v>
      </c>
      <c r="AY73">
        <v>61252</v>
      </c>
    </row>
    <row r="74" spans="1:51" x14ac:dyDescent="0.25">
      <c r="A74" t="s">
        <v>8</v>
      </c>
      <c r="B74">
        <v>42035</v>
      </c>
      <c r="C74">
        <v>42063</v>
      </c>
      <c r="D74">
        <v>42094</v>
      </c>
      <c r="E74">
        <v>42124</v>
      </c>
      <c r="F74">
        <v>42155</v>
      </c>
      <c r="G74">
        <v>42185</v>
      </c>
      <c r="H74">
        <v>42216</v>
      </c>
      <c r="I74">
        <v>42247</v>
      </c>
      <c r="J74">
        <v>42277</v>
      </c>
      <c r="K74">
        <v>42308</v>
      </c>
      <c r="L74">
        <v>42338</v>
      </c>
      <c r="M74">
        <v>42369</v>
      </c>
      <c r="N74">
        <v>42400</v>
      </c>
      <c r="O74">
        <v>42429</v>
      </c>
      <c r="P74">
        <v>42460</v>
      </c>
      <c r="Q74">
        <v>42490</v>
      </c>
      <c r="R74">
        <v>42521</v>
      </c>
      <c r="S74">
        <v>42551</v>
      </c>
      <c r="T74">
        <v>42582</v>
      </c>
      <c r="U74">
        <v>42613</v>
      </c>
      <c r="V74">
        <v>42643</v>
      </c>
      <c r="W74">
        <v>42674</v>
      </c>
      <c r="X74">
        <v>42704</v>
      </c>
      <c r="Y74">
        <v>42735</v>
      </c>
      <c r="Z74">
        <v>42766</v>
      </c>
      <c r="AA74">
        <v>42794</v>
      </c>
      <c r="AB74">
        <v>42825</v>
      </c>
      <c r="AC74">
        <v>42855</v>
      </c>
      <c r="AD74">
        <v>42886</v>
      </c>
      <c r="AE74">
        <v>42916</v>
      </c>
      <c r="AF74">
        <v>42947</v>
      </c>
      <c r="AG74">
        <v>42978</v>
      </c>
      <c r="AH74">
        <v>43008</v>
      </c>
      <c r="AI74">
        <v>43039</v>
      </c>
      <c r="AJ74">
        <v>43069</v>
      </c>
      <c r="AK74">
        <v>43100</v>
      </c>
      <c r="AL74">
        <v>43131</v>
      </c>
      <c r="AM74">
        <v>43159</v>
      </c>
      <c r="AN74">
        <v>43190</v>
      </c>
      <c r="AO74">
        <v>43220</v>
      </c>
      <c r="AP74">
        <v>43251</v>
      </c>
      <c r="AQ74">
        <v>43281</v>
      </c>
      <c r="AR74">
        <v>43312</v>
      </c>
      <c r="AS74">
        <v>43343</v>
      </c>
      <c r="AT74">
        <v>43373</v>
      </c>
      <c r="AU74">
        <v>43404</v>
      </c>
      <c r="AV74">
        <v>43434</v>
      </c>
      <c r="AW74">
        <v>43465</v>
      </c>
      <c r="AX74">
        <v>43496</v>
      </c>
      <c r="AY74">
        <v>43524</v>
      </c>
    </row>
    <row r="75" spans="1:51" x14ac:dyDescent="0.25">
      <c r="A75" t="s">
        <v>9</v>
      </c>
      <c r="B75" t="s">
        <v>16</v>
      </c>
      <c r="C75" t="s">
        <v>22</v>
      </c>
      <c r="D75" t="s">
        <v>22</v>
      </c>
      <c r="E75" t="s">
        <v>16</v>
      </c>
      <c r="F75" t="s">
        <v>16</v>
      </c>
      <c r="G75" t="s">
        <v>38</v>
      </c>
      <c r="H75" t="s">
        <v>22</v>
      </c>
      <c r="I75" t="s">
        <v>16</v>
      </c>
      <c r="J75" t="s">
        <v>38</v>
      </c>
      <c r="K75" t="s">
        <v>16</v>
      </c>
      <c r="L75" t="s">
        <v>38</v>
      </c>
      <c r="M75" t="s">
        <v>16</v>
      </c>
      <c r="N75" t="s">
        <v>22</v>
      </c>
      <c r="O75" t="s">
        <v>16</v>
      </c>
      <c r="P75" t="s">
        <v>38</v>
      </c>
      <c r="Q75" t="s">
        <v>22</v>
      </c>
      <c r="R75" t="s">
        <v>38</v>
      </c>
      <c r="S75" t="s">
        <v>16</v>
      </c>
      <c r="T75" t="s">
        <v>22</v>
      </c>
      <c r="U75" t="s">
        <v>38</v>
      </c>
      <c r="V75" t="s">
        <v>22</v>
      </c>
      <c r="W75" t="s">
        <v>16</v>
      </c>
      <c r="X75" t="s">
        <v>38</v>
      </c>
      <c r="Y75" t="s">
        <v>16</v>
      </c>
      <c r="Z75" t="s">
        <v>22</v>
      </c>
      <c r="AA75" t="s">
        <v>38</v>
      </c>
      <c r="AB75" t="s">
        <v>38</v>
      </c>
      <c r="AC75" t="s">
        <v>22</v>
      </c>
      <c r="AD75" t="s">
        <v>22</v>
      </c>
      <c r="AE75" t="s">
        <v>22</v>
      </c>
      <c r="AF75" t="s">
        <v>38</v>
      </c>
      <c r="AG75" t="s">
        <v>38</v>
      </c>
      <c r="AH75" t="s">
        <v>16</v>
      </c>
      <c r="AI75" t="s">
        <v>22</v>
      </c>
      <c r="AJ75" t="s">
        <v>16</v>
      </c>
      <c r="AK75" t="s">
        <v>16</v>
      </c>
      <c r="AL75" t="s">
        <v>22</v>
      </c>
      <c r="AM75" t="s">
        <v>38</v>
      </c>
      <c r="AN75" t="s">
        <v>38</v>
      </c>
      <c r="AO75" t="s">
        <v>16</v>
      </c>
      <c r="AP75" t="s">
        <v>22</v>
      </c>
      <c r="AQ75" t="s">
        <v>16</v>
      </c>
      <c r="AR75" t="s">
        <v>22</v>
      </c>
      <c r="AS75" t="s">
        <v>22</v>
      </c>
      <c r="AT75" t="s">
        <v>22</v>
      </c>
      <c r="AU75" t="s">
        <v>38</v>
      </c>
      <c r="AV75" t="s">
        <v>22</v>
      </c>
      <c r="AW75" t="s">
        <v>22</v>
      </c>
      <c r="AX75" t="s">
        <v>16</v>
      </c>
      <c r="AY75" t="s">
        <v>22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8015B-9F1B-40B1-A865-9FF1F3E47C99}">
  <dimension ref="A3:E55"/>
  <sheetViews>
    <sheetView tabSelected="1" topLeftCell="A37" zoomScaleNormal="100" workbookViewId="0">
      <selection activeCell="D47" sqref="D47:D54"/>
    </sheetView>
  </sheetViews>
  <sheetFormatPr defaultRowHeight="15" x14ac:dyDescent="0.25"/>
  <cols>
    <col min="1" max="1" width="30.28515625" customWidth="1"/>
    <col min="2" max="2" width="22.5703125" customWidth="1"/>
    <col min="3" max="3" width="25.140625" customWidth="1"/>
    <col min="4" max="4" width="32.140625" customWidth="1"/>
    <col min="5" max="5" width="21.140625" customWidth="1"/>
  </cols>
  <sheetData>
    <row r="3" spans="1:5" ht="15.75" thickBot="1" x14ac:dyDescent="0.3"/>
    <row r="4" spans="1:5" ht="21.75" thickBot="1" x14ac:dyDescent="0.4">
      <c r="A4" s="25" t="s">
        <v>137</v>
      </c>
      <c r="B4" s="26"/>
      <c r="C4" s="27"/>
      <c r="D4" s="28"/>
      <c r="E4" s="29"/>
    </row>
    <row r="5" spans="1:5" ht="15.75" thickBot="1" x14ac:dyDescent="0.3">
      <c r="A5" s="7"/>
      <c r="B5" s="7"/>
      <c r="C5" s="7"/>
      <c r="D5" s="7"/>
      <c r="E5" s="8"/>
    </row>
    <row r="6" spans="1:5" ht="15.75" thickBot="1" x14ac:dyDescent="0.3">
      <c r="A6" s="9" t="s">
        <v>0</v>
      </c>
      <c r="B6" s="10" t="s">
        <v>4</v>
      </c>
      <c r="C6" s="10" t="s">
        <v>5</v>
      </c>
      <c r="D6" s="10" t="s">
        <v>6</v>
      </c>
      <c r="E6" s="8"/>
    </row>
    <row r="7" spans="1:5" ht="15.75" thickBot="1" x14ac:dyDescent="0.3">
      <c r="A7" s="11" t="s">
        <v>83</v>
      </c>
      <c r="B7" s="12" t="str">
        <f>VLOOKUP(A7,vloo[],5,FALSE)</f>
        <v>Los Angeles</v>
      </c>
      <c r="C7" s="12" t="str">
        <f>VLOOKUP(A7,vloo[],6,FALSE)</f>
        <v>user23@example.com</v>
      </c>
      <c r="D7" s="12">
        <f>VLOOKUP(A7,vloo[],7)</f>
        <v>9876512904</v>
      </c>
      <c r="E7" s="8"/>
    </row>
    <row r="8" spans="1:5" ht="15.75" thickBot="1" x14ac:dyDescent="0.3">
      <c r="A8" s="11" t="s">
        <v>127</v>
      </c>
      <c r="B8" s="12" t="str">
        <f>VLOOKUP(A8,vloo[],5,FALSE)</f>
        <v>Los Angeles</v>
      </c>
      <c r="C8" s="12" t="str">
        <f>VLOOKUP(A8,vloo[],6,FALSE)</f>
        <v>user45@example.com</v>
      </c>
      <c r="D8" s="12">
        <f>VLOOKUP(A8,vloo[],7)</f>
        <v>9876596399</v>
      </c>
      <c r="E8" s="8"/>
    </row>
    <row r="9" spans="1:5" ht="15.75" thickBot="1" x14ac:dyDescent="0.3">
      <c r="A9" s="11" t="s">
        <v>39</v>
      </c>
      <c r="B9" s="12" t="str">
        <f>VLOOKUP(A9,vloo[],5,FALSE)</f>
        <v>New York</v>
      </c>
      <c r="C9" s="12" t="str">
        <f>VLOOKUP(A9,vloo[],6,FALSE)</f>
        <v>user6@example.com</v>
      </c>
      <c r="D9" s="12">
        <f>VLOOKUP(A9,vloo[],7)</f>
        <v>9876530256</v>
      </c>
      <c r="E9" s="8"/>
    </row>
    <row r="10" spans="1:5" ht="15.75" thickBot="1" x14ac:dyDescent="0.3">
      <c r="A10" s="11" t="s">
        <v>89</v>
      </c>
      <c r="B10" s="12" t="str">
        <f>VLOOKUP(A10,vloo[],5,FALSE)</f>
        <v>Phoenix</v>
      </c>
      <c r="C10" s="12" t="str">
        <f>VLOOKUP(A10,vloo[],6,FALSE)</f>
        <v>user26@example.com</v>
      </c>
      <c r="D10" s="12">
        <f>VLOOKUP(A10,vloo[],7)</f>
        <v>9876548833</v>
      </c>
      <c r="E10" s="8"/>
    </row>
    <row r="11" spans="1:5" ht="15.75" thickBot="1" x14ac:dyDescent="0.3">
      <c r="A11" s="11" t="s">
        <v>103</v>
      </c>
      <c r="B11" s="12" t="str">
        <f>VLOOKUP(A11,vloo[],5,FALSE)</f>
        <v>Chicago</v>
      </c>
      <c r="C11" s="12" t="str">
        <f>VLOOKUP(A11,vloo[],6,FALSE)</f>
        <v>user33@example.com</v>
      </c>
      <c r="D11" s="12">
        <f>VLOOKUP(A11,vloo[],7)</f>
        <v>9876580321</v>
      </c>
      <c r="E11" s="8"/>
    </row>
    <row r="12" spans="1:5" ht="15.75" thickBot="1" x14ac:dyDescent="0.3">
      <c r="A12" s="11" t="s">
        <v>91</v>
      </c>
      <c r="B12" s="12" t="str">
        <f>VLOOKUP(A12,vloo[],5,FALSE)</f>
        <v>Los Angeles</v>
      </c>
      <c r="C12" s="12" t="str">
        <f>VLOOKUP(A12,vloo[],6,FALSE)</f>
        <v>user27@example.com</v>
      </c>
      <c r="D12" s="12">
        <f>VLOOKUP(A12,vloo[],7)</f>
        <v>9876587441</v>
      </c>
      <c r="E12" s="8"/>
    </row>
    <row r="13" spans="1:5" ht="15.75" thickBot="1" x14ac:dyDescent="0.3">
      <c r="A13" s="11" t="s">
        <v>17</v>
      </c>
      <c r="B13" s="12" t="str">
        <f>VLOOKUP(A13,vloo[],5,FALSE)</f>
        <v>Houston</v>
      </c>
      <c r="C13" s="12" t="str">
        <f>VLOOKUP(A13,vloo[],6,FALSE)</f>
        <v>user1@example.com</v>
      </c>
      <c r="D13" s="12">
        <f>VLOOKUP(A13,vloo[],7)</f>
        <v>9876541529</v>
      </c>
      <c r="E13" s="8"/>
    </row>
    <row r="14" spans="1:5" ht="15.75" thickBot="1" x14ac:dyDescent="0.3">
      <c r="A14" s="11" t="s">
        <v>81</v>
      </c>
      <c r="B14" s="12" t="str">
        <f>VLOOKUP(A14,vloo[],5,FALSE)</f>
        <v>Chicago</v>
      </c>
      <c r="C14" s="12" t="str">
        <f>VLOOKUP(A14,vloo[],6,FALSE)</f>
        <v>user22@example.com</v>
      </c>
      <c r="D14" s="12">
        <f>VLOOKUP(A14,vloo[],7)</f>
        <v>9876571743</v>
      </c>
      <c r="E14" s="8"/>
    </row>
    <row r="15" spans="1:5" ht="15.75" thickBot="1" x14ac:dyDescent="0.3">
      <c r="A15" s="8"/>
      <c r="B15" s="8"/>
      <c r="C15" s="8"/>
      <c r="D15" s="8"/>
      <c r="E15" s="8"/>
    </row>
    <row r="18" spans="1:5" ht="15.75" thickBot="1" x14ac:dyDescent="0.3"/>
    <row r="19" spans="1:5" ht="24" thickBot="1" x14ac:dyDescent="0.4">
      <c r="A19" s="30" t="s">
        <v>189</v>
      </c>
      <c r="B19" s="31"/>
      <c r="C19" s="32"/>
      <c r="D19" s="28"/>
      <c r="E19" s="29"/>
    </row>
    <row r="20" spans="1:5" ht="15.75" thickBot="1" x14ac:dyDescent="0.3">
      <c r="A20" s="8"/>
      <c r="B20" s="8"/>
      <c r="C20" s="8"/>
      <c r="D20" s="8"/>
      <c r="E20" s="8"/>
    </row>
    <row r="21" spans="1:5" ht="15.75" thickBot="1" x14ac:dyDescent="0.3">
      <c r="A21" s="8"/>
      <c r="B21" s="8"/>
      <c r="C21" s="8"/>
      <c r="D21" s="8"/>
      <c r="E21" s="8"/>
    </row>
    <row r="22" spans="1:5" ht="15.75" thickBot="1" x14ac:dyDescent="0.3">
      <c r="A22" s="7"/>
      <c r="B22" s="7"/>
      <c r="C22" s="7"/>
      <c r="D22" s="7"/>
      <c r="E22" s="8"/>
    </row>
    <row r="23" spans="1:5" ht="15.75" thickBot="1" x14ac:dyDescent="0.3">
      <c r="A23" s="9" t="s">
        <v>0</v>
      </c>
      <c r="B23" s="10" t="s">
        <v>4</v>
      </c>
      <c r="C23" s="10" t="s">
        <v>5</v>
      </c>
      <c r="D23" s="10" t="s">
        <v>6</v>
      </c>
      <c r="E23" s="8"/>
    </row>
    <row r="24" spans="1:5" ht="15.75" thickBot="1" x14ac:dyDescent="0.3">
      <c r="A24" s="11" t="s">
        <v>83</v>
      </c>
      <c r="B24" s="12" t="str">
        <f>HLOOKUP(A24,Hloo[],5,)</f>
        <v>Los Angeles</v>
      </c>
      <c r="C24" s="12" t="str">
        <f>HLOOKUP(A24,Hloo[],6,FALSE)</f>
        <v>user23@example.com</v>
      </c>
      <c r="D24" s="12">
        <f>HLOOKUP(A24,Hloo[],7)</f>
        <v>9876512904</v>
      </c>
      <c r="E24" s="12"/>
    </row>
    <row r="25" spans="1:5" ht="15.75" thickBot="1" x14ac:dyDescent="0.3">
      <c r="A25" s="11" t="s">
        <v>127</v>
      </c>
      <c r="B25" s="12" t="str">
        <f>HLOOKUP(A25,Hloo[],5,)</f>
        <v>Los Angeles</v>
      </c>
      <c r="C25" s="12" t="str">
        <f>HLOOKUP(A25,Hloo[],6,FALSE)</f>
        <v>user45@example.com</v>
      </c>
      <c r="D25" s="12">
        <f>HLOOKUP(A25,Hloo[],7)</f>
        <v>9876596399</v>
      </c>
      <c r="E25" s="8"/>
    </row>
    <row r="26" spans="1:5" ht="15.75" thickBot="1" x14ac:dyDescent="0.3">
      <c r="A26" s="11" t="s">
        <v>39</v>
      </c>
      <c r="B26" s="12" t="str">
        <f>HLOOKUP(A26,Hloo[],5,)</f>
        <v>New York</v>
      </c>
      <c r="C26" s="12" t="str">
        <f>HLOOKUP(A26,Hloo[],6,FALSE)</f>
        <v>user6@example.com</v>
      </c>
      <c r="D26" s="12">
        <f>HLOOKUP(A26,Hloo[],7)</f>
        <v>9876530256</v>
      </c>
      <c r="E26" s="8"/>
    </row>
    <row r="27" spans="1:5" ht="15.75" thickBot="1" x14ac:dyDescent="0.3">
      <c r="A27" s="11" t="s">
        <v>89</v>
      </c>
      <c r="B27" s="12" t="str">
        <f>HLOOKUP(A27,Hloo[],5,)</f>
        <v>Phoenix</v>
      </c>
      <c r="C27" s="12" t="str">
        <f>HLOOKUP(A27,Hloo[],6,FALSE)</f>
        <v>user26@example.com</v>
      </c>
      <c r="D27" s="12">
        <f>HLOOKUP(A27,Hloo[],7)</f>
        <v>9876548833</v>
      </c>
      <c r="E27" s="8"/>
    </row>
    <row r="28" spans="1:5" ht="15.75" thickBot="1" x14ac:dyDescent="0.3">
      <c r="A28" s="11" t="s">
        <v>103</v>
      </c>
      <c r="B28" s="12" t="str">
        <f>HLOOKUP(A28,Hloo[],5,)</f>
        <v>Chicago</v>
      </c>
      <c r="C28" s="12" t="str">
        <f>HLOOKUP(A28,Hloo[],6,FALSE)</f>
        <v>user33@example.com</v>
      </c>
      <c r="D28" s="12">
        <f>HLOOKUP(A28,Hloo[],7)</f>
        <v>9876580321</v>
      </c>
      <c r="E28" s="8"/>
    </row>
    <row r="29" spans="1:5" ht="15.75" thickBot="1" x14ac:dyDescent="0.3">
      <c r="A29" s="11" t="s">
        <v>91</v>
      </c>
      <c r="B29" s="12" t="str">
        <f>HLOOKUP(A29,Hloo[],5,)</f>
        <v>Los Angeles</v>
      </c>
      <c r="C29" s="12" t="str">
        <f>HLOOKUP(A29,Hloo[],6,FALSE)</f>
        <v>user27@example.com</v>
      </c>
      <c r="D29" s="12">
        <f>HLOOKUP(A29,Hloo[],7)</f>
        <v>9876587441</v>
      </c>
      <c r="E29" s="8"/>
    </row>
    <row r="30" spans="1:5" ht="15.75" thickBot="1" x14ac:dyDescent="0.3">
      <c r="A30" s="11" t="s">
        <v>17</v>
      </c>
      <c r="B30" s="12" t="str">
        <f>HLOOKUP(A30,Hloo[],5,)</f>
        <v>Houston</v>
      </c>
      <c r="C30" s="12" t="str">
        <f>HLOOKUP(A30,Hloo[],6,FALSE)</f>
        <v>user1@example.com</v>
      </c>
      <c r="D30" s="12">
        <f>HLOOKUP(A30,Hloo[],7)</f>
        <v>9876541529</v>
      </c>
      <c r="E30" s="8"/>
    </row>
    <row r="31" spans="1:5" ht="15.75" thickBot="1" x14ac:dyDescent="0.3">
      <c r="A31" s="11" t="s">
        <v>81</v>
      </c>
      <c r="B31" s="12" t="str">
        <f>HLOOKUP(A31,Hloo[],5,)</f>
        <v>Chicago</v>
      </c>
      <c r="C31" s="12" t="str">
        <f>HLOOKUP(A31,Hloo[],6,FALSE)</f>
        <v>user22@example.com</v>
      </c>
      <c r="D31" s="12">
        <f>HLOOKUP(A31,Hloo[],7)</f>
        <v>9876571743</v>
      </c>
      <c r="E31" s="8"/>
    </row>
    <row r="32" spans="1:5" ht="15.75" thickBot="1" x14ac:dyDescent="0.3">
      <c r="A32" s="8"/>
      <c r="B32" s="8"/>
      <c r="C32" s="8"/>
      <c r="D32" s="8"/>
      <c r="E32" s="8"/>
    </row>
    <row r="35" spans="1:5" ht="15.75" thickBot="1" x14ac:dyDescent="0.3"/>
    <row r="36" spans="1:5" ht="30.75" customHeight="1" thickBot="1" x14ac:dyDescent="0.4">
      <c r="A36" s="30" t="s">
        <v>190</v>
      </c>
      <c r="B36" s="31"/>
      <c r="C36" s="32"/>
      <c r="D36" s="33"/>
      <c r="E36" s="34"/>
    </row>
    <row r="37" spans="1:5" ht="15.75" thickBot="1" x14ac:dyDescent="0.3">
      <c r="A37" s="9" t="s">
        <v>0</v>
      </c>
      <c r="B37" s="8" t="s">
        <v>4</v>
      </c>
      <c r="C37" s="8" t="s">
        <v>191</v>
      </c>
      <c r="D37" s="8" t="s">
        <v>192</v>
      </c>
      <c r="E37" s="8"/>
    </row>
    <row r="38" spans="1:5" ht="15.75" thickBot="1" x14ac:dyDescent="0.3">
      <c r="A38" s="11" t="str">
        <f>INDEX(vloo[],1,1)</f>
        <v>E1000</v>
      </c>
      <c r="B38" s="8" t="str">
        <f>INDEX(vloo[],1,5)</f>
        <v>Houston</v>
      </c>
      <c r="C38" s="8" t="str">
        <f>INDEX(vloo[],1,6)</f>
        <v>user0@example.com</v>
      </c>
      <c r="D38" s="8">
        <f>INDEX(vloo[],1,7)</f>
        <v>9876544545</v>
      </c>
      <c r="E38" s="8"/>
    </row>
    <row r="39" spans="1:5" ht="15.75" thickBot="1" x14ac:dyDescent="0.3">
      <c r="A39" s="11" t="str">
        <f>INDEX(vloo[],2,1)</f>
        <v>E1001</v>
      </c>
      <c r="B39" s="8" t="str">
        <f>INDEX(vloo[],2,5)</f>
        <v>Houston</v>
      </c>
      <c r="C39" s="8" t="str">
        <f>INDEX(vloo[],2,6)</f>
        <v>user1@example.com</v>
      </c>
      <c r="D39" s="8">
        <f>INDEX(vloo[],2,7)</f>
        <v>9876541529</v>
      </c>
      <c r="E39" s="8"/>
    </row>
    <row r="40" spans="1:5" ht="15.75" thickBot="1" x14ac:dyDescent="0.3">
      <c r="A40" s="11" t="str">
        <f>INDEX(vloo[],3,1)</f>
        <v>E1002</v>
      </c>
      <c r="B40" s="8" t="str">
        <f>INDEX(vloo[],3,5)</f>
        <v>Phoenix</v>
      </c>
      <c r="C40" s="8" t="str">
        <f>INDEX(vloo[],3,6)</f>
        <v>user2@example.com</v>
      </c>
      <c r="D40" s="8">
        <f>INDEX(vloo[],3,7)</f>
        <v>9880000000</v>
      </c>
      <c r="E40" s="7"/>
    </row>
    <row r="41" spans="1:5" ht="15.75" thickBot="1" x14ac:dyDescent="0.3">
      <c r="A41" s="11" t="str">
        <f>INDEX(vloo[],4,1)</f>
        <v>E1003</v>
      </c>
      <c r="B41" s="8" t="str">
        <f>INDEX(vloo[],4,5)</f>
        <v>Phoenix</v>
      </c>
      <c r="C41" s="8" t="str">
        <f>INDEX(vloo[],4,6)</f>
        <v>user3@example.com</v>
      </c>
      <c r="D41" s="8">
        <f>INDEX(vloo[],4,7)</f>
        <v>9876528803</v>
      </c>
    </row>
    <row r="42" spans="1:5" ht="15.75" thickBot="1" x14ac:dyDescent="0.3">
      <c r="A42" s="11"/>
      <c r="C42" s="8" t="str">
        <f>INDEX(vloo[],5,6)</f>
        <v>user4@example.com</v>
      </c>
      <c r="D42" s="8">
        <f>INDEX(vloo[],5,7)</f>
        <v>9876540655</v>
      </c>
    </row>
    <row r="43" spans="1:5" ht="15.75" thickBot="1" x14ac:dyDescent="0.3">
      <c r="A43" s="11"/>
    </row>
    <row r="44" spans="1:5" ht="27" thickBot="1" x14ac:dyDescent="0.45">
      <c r="A44" s="36" t="s">
        <v>193</v>
      </c>
      <c r="B44" s="37"/>
      <c r="C44" s="38"/>
      <c r="D44" s="28"/>
      <c r="E44" s="29"/>
    </row>
    <row r="45" spans="1:5" ht="15.75" thickBot="1" x14ac:dyDescent="0.3">
      <c r="A45" s="7"/>
      <c r="B45" s="7"/>
      <c r="C45" s="7"/>
      <c r="D45" s="7"/>
      <c r="E45" s="8"/>
    </row>
    <row r="46" spans="1:5" ht="15.75" thickBot="1" x14ac:dyDescent="0.3">
      <c r="A46" s="9" t="s">
        <v>5</v>
      </c>
      <c r="B46" s="10" t="s">
        <v>0</v>
      </c>
      <c r="C46" s="10" t="s">
        <v>4</v>
      </c>
      <c r="D46" s="10" t="s">
        <v>6</v>
      </c>
      <c r="E46" s="8"/>
    </row>
    <row r="47" spans="1:5" ht="15.75" thickBot="1" x14ac:dyDescent="0.3">
      <c r="A47" s="35" t="s">
        <v>84</v>
      </c>
      <c r="B47" s="12" t="str">
        <f>_xlfn.XLOOKUP(A47,vloo[Email],vloo[Employee ID])</f>
        <v>E1023</v>
      </c>
      <c r="C47" s="12" t="str">
        <f>_xlfn.XLOOKUP(A47,vloo[Email],vloo[Location])</f>
        <v>Los Angeles</v>
      </c>
      <c r="D47" s="12">
        <f>_xlfn.XLOOKUP(A47,vloo[Email],vloo[Phone])</f>
        <v>9876512904</v>
      </c>
      <c r="E47" s="8"/>
    </row>
    <row r="48" spans="1:5" ht="15.75" thickBot="1" x14ac:dyDescent="0.3">
      <c r="A48" s="35" t="s">
        <v>128</v>
      </c>
      <c r="B48" s="12" t="str">
        <f>_xlfn.XLOOKUP(A48,vloo[Email],vloo[Employee ID])</f>
        <v>E1045</v>
      </c>
      <c r="C48" s="12" t="str">
        <f>_xlfn.XLOOKUP(A48,vloo[Email],vloo[Location])</f>
        <v>Los Angeles</v>
      </c>
      <c r="D48" s="12">
        <f>_xlfn.XLOOKUP(A48,vloo[Email],vloo[Phone])</f>
        <v>9876596399</v>
      </c>
      <c r="E48" s="8"/>
    </row>
    <row r="49" spans="1:5" ht="15.75" thickBot="1" x14ac:dyDescent="0.3">
      <c r="A49" s="35" t="s">
        <v>42</v>
      </c>
      <c r="B49" s="12" t="str">
        <f>_xlfn.XLOOKUP(A49,vloo[Email],vloo[Employee ID])</f>
        <v>E1006</v>
      </c>
      <c r="C49" s="12" t="str">
        <f>_xlfn.XLOOKUP(A49,vloo[Email],vloo[Location])</f>
        <v>New York</v>
      </c>
      <c r="D49" s="12">
        <f>_xlfn.XLOOKUP(A49,vloo[Email],vloo[Phone])</f>
        <v>9876530256</v>
      </c>
      <c r="E49" s="8"/>
    </row>
    <row r="50" spans="1:5" ht="15.75" thickBot="1" x14ac:dyDescent="0.3">
      <c r="A50" s="35" t="s">
        <v>90</v>
      </c>
      <c r="B50" s="12" t="str">
        <f>_xlfn.XLOOKUP(A50,vloo[Email],vloo[Employee ID])</f>
        <v>E1026</v>
      </c>
      <c r="C50" s="12" t="str">
        <f>_xlfn.XLOOKUP(A50,vloo[Email],vloo[Location])</f>
        <v>Phoenix</v>
      </c>
      <c r="D50" s="12">
        <f>_xlfn.XLOOKUP(A50,vloo[Email],vloo[Phone])</f>
        <v>9876548833</v>
      </c>
      <c r="E50" s="8"/>
    </row>
    <row r="51" spans="1:5" ht="15.75" thickBot="1" x14ac:dyDescent="0.3">
      <c r="A51" s="35" t="s">
        <v>104</v>
      </c>
      <c r="B51" s="12" t="str">
        <f>_xlfn.XLOOKUP(A51,vloo[Email],vloo[Employee ID])</f>
        <v>E1033</v>
      </c>
      <c r="C51" s="12" t="str">
        <f>_xlfn.XLOOKUP(A51,vloo[Email],vloo[Location])</f>
        <v>Chicago</v>
      </c>
      <c r="D51" s="12">
        <f>_xlfn.XLOOKUP(A51,vloo[Email],vloo[Phone])</f>
        <v>9876580321</v>
      </c>
      <c r="E51" s="8"/>
    </row>
    <row r="52" spans="1:5" ht="15.75" thickBot="1" x14ac:dyDescent="0.3">
      <c r="A52" s="35" t="s">
        <v>92</v>
      </c>
      <c r="B52" s="12" t="str">
        <f>_xlfn.XLOOKUP(A52,vloo[Email],vloo[Employee ID])</f>
        <v>E1027</v>
      </c>
      <c r="C52" s="12" t="str">
        <f>_xlfn.XLOOKUP(A52,vloo[Email],vloo[Location])</f>
        <v>Los Angeles</v>
      </c>
      <c r="D52" s="12">
        <f>_xlfn.XLOOKUP(A52,vloo[Email],vloo[Phone])</f>
        <v>9876587441</v>
      </c>
      <c r="E52" s="8"/>
    </row>
    <row r="53" spans="1:5" ht="15.75" thickBot="1" x14ac:dyDescent="0.3">
      <c r="A53" s="35" t="s">
        <v>21</v>
      </c>
      <c r="B53" s="12" t="str">
        <f>_xlfn.XLOOKUP(A53,vloo[Email],vloo[Employee ID])</f>
        <v>E1001</v>
      </c>
      <c r="C53" s="12" t="str">
        <f>_xlfn.XLOOKUP(A53,vloo[Email],vloo[Location])</f>
        <v>Houston</v>
      </c>
      <c r="D53" s="12">
        <f>_xlfn.XLOOKUP(A53,vloo[Email],vloo[Phone])</f>
        <v>9876541529</v>
      </c>
      <c r="E53" s="8"/>
    </row>
    <row r="54" spans="1:5" ht="15.75" thickBot="1" x14ac:dyDescent="0.3">
      <c r="A54" s="35" t="s">
        <v>82</v>
      </c>
      <c r="B54" s="12" t="str">
        <f>_xlfn.XLOOKUP(A54,vloo[Email],vloo[Employee ID])</f>
        <v>E1022</v>
      </c>
      <c r="C54" s="12" t="str">
        <f>_xlfn.XLOOKUP(A54,vloo[Email],vloo[Location])</f>
        <v>Chicago</v>
      </c>
      <c r="D54" s="12">
        <f>_xlfn.XLOOKUP(A54,vloo[Email],vloo[Phone])</f>
        <v>9876571743</v>
      </c>
      <c r="E54" s="8"/>
    </row>
    <row r="55" spans="1:5" ht="15.75" thickBot="1" x14ac:dyDescent="0.3">
      <c r="A55" s="8"/>
      <c r="B55" s="8"/>
      <c r="C55" s="8"/>
      <c r="D55" s="8"/>
      <c r="E55" s="8"/>
    </row>
  </sheetData>
  <mergeCells count="8">
    <mergeCell ref="A44:C44"/>
    <mergeCell ref="D44:E44"/>
    <mergeCell ref="A4:C4"/>
    <mergeCell ref="D4:E4"/>
    <mergeCell ref="A19:C19"/>
    <mergeCell ref="D19:E19"/>
    <mergeCell ref="A36:C36"/>
    <mergeCell ref="D36:E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2026-07-08T23:59:41Z</dcterms:created>
  <dcterms:modified xsi:type="dcterms:W3CDTF">2026-07-09T07:07:07Z</dcterms:modified>
</cp:coreProperties>
</file>